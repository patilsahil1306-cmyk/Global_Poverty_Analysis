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hup\Downloads\"/>
    </mc:Choice>
  </mc:AlternateContent>
  <xr:revisionPtr revIDLastSave="0" documentId="13_ncr:1_{0BD216F8-D631-4B7A-B564-527249E4B755}" xr6:coauthVersionLast="47" xr6:coauthVersionMax="47" xr10:uidLastSave="{00000000-0000-0000-0000-000000000000}"/>
  <bookViews>
    <workbookView xWindow="0" yWindow="360" windowWidth="19420" windowHeight="10300" activeTab="3" xr2:uid="{00000000-000D-0000-FFFF-FFFF00000000}"/>
  </bookViews>
  <sheets>
    <sheet name="Dashboard" sheetId="9" r:id="rId1"/>
    <sheet name="Sheet7" sheetId="12" r:id="rId2"/>
    <sheet name="Sheet5" sheetId="16" r:id="rId3"/>
    <sheet name="Global Poverty Dataset" sheetId="1" r:id="rId4"/>
  </sheets>
  <definedNames>
    <definedName name="Slicer_Country">#N/A</definedName>
    <definedName name="Slicer_Year">#N/A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7" i="9" l="1"/>
  <c r="R7" i="9"/>
  <c r="O7" i="9"/>
  <c r="L7" i="9"/>
  <c r="C6" i="16"/>
  <c r="H252" i="1"/>
  <c r="G252" i="1"/>
  <c r="F252" i="1"/>
  <c r="E252" i="1"/>
  <c r="D252" i="1"/>
</calcChain>
</file>

<file path=xl/sharedStrings.xml><?xml version="1.0" encoding="utf-8"?>
<sst xmlns="http://schemas.openxmlformats.org/spreadsheetml/2006/main" count="693" uniqueCount="52">
  <si>
    <t>Entry_ID</t>
  </si>
  <si>
    <t>Country</t>
  </si>
  <si>
    <t>Year</t>
  </si>
  <si>
    <t>GDP_Per_Capita_USD</t>
  </si>
  <si>
    <t>Poverty_Rate_Percent</t>
  </si>
  <si>
    <t>Gini_Index</t>
  </si>
  <si>
    <t>Unemployment_Rate_Percent</t>
  </si>
  <si>
    <t>Literacy_Rate_Percent</t>
  </si>
  <si>
    <t>Social_Spending_Percent_GDP</t>
  </si>
  <si>
    <t>Life_Expectancy_Years</t>
  </si>
  <si>
    <t>Population_Millions</t>
  </si>
  <si>
    <t>Economic_Inequality_Level</t>
  </si>
  <si>
    <t>Peru</t>
  </si>
  <si>
    <t>High</t>
  </si>
  <si>
    <t>India</t>
  </si>
  <si>
    <t>Low</t>
  </si>
  <si>
    <t>Mexico</t>
  </si>
  <si>
    <t>Moderate</t>
  </si>
  <si>
    <t>China</t>
  </si>
  <si>
    <t>Egypt</t>
  </si>
  <si>
    <t>Brazil</t>
  </si>
  <si>
    <t>France</t>
  </si>
  <si>
    <t>Bangladesh</t>
  </si>
  <si>
    <t>Japan</t>
  </si>
  <si>
    <t>United Kingdom</t>
  </si>
  <si>
    <t>Indonesia</t>
  </si>
  <si>
    <t>Australia</t>
  </si>
  <si>
    <t>Turkey</t>
  </si>
  <si>
    <t>Ethiopia</t>
  </si>
  <si>
    <t>United States</t>
  </si>
  <si>
    <t>Germany</t>
  </si>
  <si>
    <t>Kenya</t>
  </si>
  <si>
    <t>Argentina</t>
  </si>
  <si>
    <t>Nigeria</t>
  </si>
  <si>
    <t>Philippines</t>
  </si>
  <si>
    <t>South Africa</t>
  </si>
  <si>
    <t>Russia</t>
  </si>
  <si>
    <t>Vietnam</t>
  </si>
  <si>
    <t>Canada</t>
  </si>
  <si>
    <t>Pakistan</t>
  </si>
  <si>
    <t>Row Labels</t>
  </si>
  <si>
    <t>Grand Total</t>
  </si>
  <si>
    <t>Average of GDP_Per_Capita_USD</t>
  </si>
  <si>
    <t>Average of Poverty_Rate_Percent</t>
  </si>
  <si>
    <t>Average GDP</t>
  </si>
  <si>
    <t>Average of Unemployment_Rate_Percent</t>
  </si>
  <si>
    <t>Average of Literacy_Rate_Percent</t>
  </si>
  <si>
    <t>Count of Gini_Index</t>
  </si>
  <si>
    <t>Average of GDP_Per_Capita</t>
  </si>
  <si>
    <t>Average  poverty rate</t>
  </si>
  <si>
    <t>Average unemployment rate</t>
  </si>
  <si>
    <t>Average literacy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</si>
</sst>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Mangal"/>
      <family val="2"/>
      <scheme val="minor"/>
    </font>
    <font>
      <b/>
      <sz val="11"/>
      <color theme="1"/>
      <name val="Mangal"/>
      <family val="2"/>
      <scheme val="minor"/>
    </font>
    <font>
      <sz val="11"/>
      <color theme="0"/>
      <name val="Mangal"/>
      <family val="2"/>
      <scheme val="minor"/>
    </font>
    <font>
      <b/>
      <sz val="24"/>
      <color theme="1"/>
      <name val="Mangal"/>
      <family val="1"/>
      <scheme val="minor"/>
    </font>
    <font>
      <sz val="20"/>
      <color theme="1"/>
      <name val="Mangal"/>
      <family val="2"/>
      <scheme val="minor"/>
    </font>
    <font>
      <b/>
      <sz val="20"/>
      <color theme="0"/>
      <name val="Mangal"/>
      <family val="1"/>
      <scheme val="minor"/>
    </font>
    <font>
      <b/>
      <sz val="22"/>
      <color theme="0"/>
      <name val="Mangal"/>
      <family val="1"/>
      <scheme val="minor"/>
    </font>
  </fonts>
  <fills count="4">
    <fill>
      <patternFill patternType="none"/>
    </fill>
    <fill>
      <patternFill patternType="gray125"/>
    </fill>
    <fill>
      <patternFill patternType="solid">
        <fgColor theme="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2" fillId="2" borderId="0" applyNumberFormat="0" applyBorder="0" applyAlignment="0" applyProtection="0"/>
  </cellStyleXfs>
  <cellXfs count="12">
    <xf numFmtId="0" fontId="0" fillId="0" borderId="0" xfId="0"/>
    <xf numFmtId="0" fontId="0" fillId="0" borderId="0" xfId="0" applyAlignment="1">
      <alignment horizontal="center"/>
    </xf>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0" fontId="3" fillId="0" borderId="0" xfId="0" applyNumberFormat="1" applyFont="1" applyAlignment="1">
      <alignment horizontal="center"/>
    </xf>
    <xf numFmtId="0" fontId="4" fillId="0" borderId="0" xfId="0" applyFont="1" applyAlignment="1">
      <alignment horizontal="center"/>
    </xf>
    <xf numFmtId="0" fontId="5" fillId="2" borderId="0" xfId="1" applyFont="1" applyAlignment="1">
      <alignment horizontal="center"/>
    </xf>
    <xf numFmtId="0" fontId="6" fillId="2" borderId="0" xfId="1" applyFont="1" applyAlignment="1">
      <alignment horizontal="center"/>
    </xf>
    <xf numFmtId="0" fontId="5" fillId="2" borderId="0" xfId="1" applyFont="1" applyBorder="1" applyAlignment="1">
      <alignment horizontal="center"/>
    </xf>
    <xf numFmtId="0" fontId="6" fillId="2" borderId="0" xfId="1" applyFont="1" applyBorder="1" applyAlignment="1">
      <alignment horizontal="center"/>
    </xf>
  </cellXfs>
  <cellStyles count="2">
    <cellStyle name="Accent1" xfId="1" builtinId="29"/>
    <cellStyle name="Normal" xfId="0" builtinId="0"/>
  </cellStyles>
  <dxfs count="195">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color rgb="FF9C0006"/>
      </font>
      <fill>
        <patternFill>
          <bgColor rgb="FFFFC7CE"/>
        </patternFill>
      </fill>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font>
        <sz val="24"/>
      </font>
    </dxf>
    <dxf>
      <alignment horizontal="center"/>
    </dxf>
    <dxf>
      <font>
        <b/>
        <family val="1"/>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[global_poverty_economic_inequality_dataset (1).xlsx]Sheet7!PivotTable13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GDP per capita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Sheet7!$A$10:$A$35</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Sheet7!$B$10:$B$35</c:f>
              <c:numCache>
                <c:formatCode>General</c:formatCode>
                <c:ptCount val="25"/>
                <c:pt idx="0">
                  <c:v>40380.5</c:v>
                </c:pt>
                <c:pt idx="1">
                  <c:v>38922.986153846148</c:v>
                </c:pt>
                <c:pt idx="2">
                  <c:v>36649.290769230771</c:v>
                </c:pt>
                <c:pt idx="3">
                  <c:v>29824.912727272724</c:v>
                </c:pt>
                <c:pt idx="4">
                  <c:v>35090.524999999994</c:v>
                </c:pt>
                <c:pt idx="5">
                  <c:v>28119.25916666667</c:v>
                </c:pt>
                <c:pt idx="6">
                  <c:v>31591.229285714278</c:v>
                </c:pt>
                <c:pt idx="7">
                  <c:v>39379.305999999997</c:v>
                </c:pt>
                <c:pt idx="8">
                  <c:v>32278.74090909091</c:v>
                </c:pt>
                <c:pt idx="9">
                  <c:v>32636.400000000001</c:v>
                </c:pt>
                <c:pt idx="10">
                  <c:v>31640.223846153855</c:v>
                </c:pt>
                <c:pt idx="11">
                  <c:v>44901.390000000007</c:v>
                </c:pt>
                <c:pt idx="12">
                  <c:v>35101.434444444443</c:v>
                </c:pt>
                <c:pt idx="13">
                  <c:v>40816.180833333332</c:v>
                </c:pt>
                <c:pt idx="14">
                  <c:v>36315.531538461539</c:v>
                </c:pt>
                <c:pt idx="15">
                  <c:v>42809.438181818179</c:v>
                </c:pt>
                <c:pt idx="16">
                  <c:v>65832.673333333325</c:v>
                </c:pt>
                <c:pt idx="17">
                  <c:v>19022.502500000002</c:v>
                </c:pt>
                <c:pt idx="18">
                  <c:v>35808.525625000002</c:v>
                </c:pt>
                <c:pt idx="19">
                  <c:v>25763.901818181817</c:v>
                </c:pt>
                <c:pt idx="20">
                  <c:v>41935.42</c:v>
                </c:pt>
                <c:pt idx="21">
                  <c:v>26934.752857142856</c:v>
                </c:pt>
                <c:pt idx="22">
                  <c:v>28903.57857142857</c:v>
                </c:pt>
                <c:pt idx="23">
                  <c:v>32244.702727272732</c:v>
                </c:pt>
                <c:pt idx="24">
                  <c:v>42387.213333333333</c:v>
                </c:pt>
              </c:numCache>
            </c:numRef>
          </c:val>
          <c:extLst>
            <c:ext xmlns:c16="http://schemas.microsoft.com/office/drawing/2014/chart" uri="{C3380CC4-5D6E-409C-BE32-E72D297353CC}">
              <c16:uniqueId val="{00000000-36DC-4F27-9981-BB27E64BC127}"/>
            </c:ext>
          </c:extLst>
        </c:ser>
        <c:dLbls>
          <c:showLegendKey val="0"/>
          <c:showVal val="0"/>
          <c:showCatName val="0"/>
          <c:showSerName val="0"/>
          <c:showPercent val="0"/>
          <c:showBubbleSize val="0"/>
        </c:dLbls>
        <c:gapWidth val="100"/>
        <c:overlap val="-24"/>
        <c:axId val="477816512"/>
        <c:axId val="1660903888"/>
      </c:barChart>
      <c:catAx>
        <c:axId val="477816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mr-IN"/>
          </a:p>
        </c:txPr>
        <c:crossAx val="1660903888"/>
        <c:crosses val="autoZero"/>
        <c:auto val="1"/>
        <c:lblAlgn val="ctr"/>
        <c:lblOffset val="100"/>
        <c:noMultiLvlLbl val="0"/>
      </c:catAx>
      <c:valAx>
        <c:axId val="166090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47781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[global_poverty_economic_inequality_dataset (1).xlsx]Sheet7!PivotTable14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unemployment rate</a:t>
            </a:r>
            <a:endParaRPr lang="en-US"/>
          </a:p>
        </c:rich>
      </c:tx>
      <c:layout>
        <c:manualLayout>
          <c:xMode val="edge"/>
          <c:yMode val="edge"/>
          <c:x val="0.5985265017214928"/>
          <c:y val="2.33653839077715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3744809946756"/>
          <c:y val="4.1401976164290866E-2"/>
          <c:w val="0.75846209293815303"/>
          <c:h val="0.88665242668438859"/>
        </c:manualLayout>
      </c:layout>
      <c:barChart>
        <c:barDir val="bar"/>
        <c:grouping val="clustered"/>
        <c:varyColors val="0"/>
        <c:ser>
          <c:idx val="0"/>
          <c:order val="0"/>
          <c:tx>
            <c:strRef>
              <c:f>Sheet7!$J$10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Sheet7!$I$11:$I$36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Sheet7!$J$11:$J$36</c:f>
              <c:numCache>
                <c:formatCode>General</c:formatCode>
                <c:ptCount val="25"/>
                <c:pt idx="0">
                  <c:v>14.975555555555555</c:v>
                </c:pt>
                <c:pt idx="1">
                  <c:v>11.55</c:v>
                </c:pt>
                <c:pt idx="2">
                  <c:v>19.279230769230765</c:v>
                </c:pt>
                <c:pt idx="3">
                  <c:v>17.168181818181822</c:v>
                </c:pt>
                <c:pt idx="4">
                  <c:v>16.900000000000002</c:v>
                </c:pt>
                <c:pt idx="5">
                  <c:v>14.330000000000004</c:v>
                </c:pt>
                <c:pt idx="6">
                  <c:v>15</c:v>
                </c:pt>
                <c:pt idx="7">
                  <c:v>20.824000000000002</c:v>
                </c:pt>
                <c:pt idx="8">
                  <c:v>17.009999999999998</c:v>
                </c:pt>
                <c:pt idx="9">
                  <c:v>15.294285714285712</c:v>
                </c:pt>
                <c:pt idx="10">
                  <c:v>17.970769230769232</c:v>
                </c:pt>
                <c:pt idx="11">
                  <c:v>18.647777777777776</c:v>
                </c:pt>
                <c:pt idx="12">
                  <c:v>16.54111111111111</c:v>
                </c:pt>
                <c:pt idx="13">
                  <c:v>17.509166666666669</c:v>
                </c:pt>
                <c:pt idx="14">
                  <c:v>12.171538461538463</c:v>
                </c:pt>
                <c:pt idx="15">
                  <c:v>13.134545454545453</c:v>
                </c:pt>
                <c:pt idx="16">
                  <c:v>17.59333333333333</c:v>
                </c:pt>
                <c:pt idx="17">
                  <c:v>15.536249999999999</c:v>
                </c:pt>
                <c:pt idx="18">
                  <c:v>14.728124999999999</c:v>
                </c:pt>
                <c:pt idx="19">
                  <c:v>14.957272727272727</c:v>
                </c:pt>
                <c:pt idx="20">
                  <c:v>15.178999999999998</c:v>
                </c:pt>
                <c:pt idx="21">
                  <c:v>18.271428571428569</c:v>
                </c:pt>
                <c:pt idx="22">
                  <c:v>11.33</c:v>
                </c:pt>
                <c:pt idx="23">
                  <c:v>18.550909090909091</c:v>
                </c:pt>
                <c:pt idx="24">
                  <c:v>11.368333333333334</c:v>
                </c:pt>
              </c:numCache>
            </c:numRef>
          </c:val>
          <c:extLst>
            <c:ext xmlns:c16="http://schemas.microsoft.com/office/drawing/2014/chart" uri="{C3380CC4-5D6E-409C-BE32-E72D297353CC}">
              <c16:uniqueId val="{00000000-B95E-4ECD-B9DD-8C586DA1CC28}"/>
            </c:ext>
          </c:extLst>
        </c:ser>
        <c:dLbls>
          <c:showLegendKey val="0"/>
          <c:showVal val="0"/>
          <c:showCatName val="0"/>
          <c:showSerName val="0"/>
          <c:showPercent val="0"/>
          <c:showBubbleSize val="0"/>
        </c:dLbls>
        <c:gapWidth val="115"/>
        <c:overlap val="-20"/>
        <c:axId val="68202896"/>
        <c:axId val="68201456"/>
      </c:barChart>
      <c:catAx>
        <c:axId val="68202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mr-IN"/>
          </a:p>
        </c:txPr>
        <c:crossAx val="68201456"/>
        <c:crosses val="autoZero"/>
        <c:auto val="1"/>
        <c:lblAlgn val="ctr"/>
        <c:lblOffset val="100"/>
        <c:noMultiLvlLbl val="0"/>
      </c:catAx>
      <c:valAx>
        <c:axId val="682014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682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[global_poverty_economic_inequality_dataset (1).xlsx]Sheet7!PivotTable15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Literacy rate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54066257038031E-2"/>
          <c:y val="3.6531347269288326E-2"/>
          <c:w val="0.92965399761339795"/>
          <c:h val="0.72748373282902468"/>
        </c:manualLayout>
      </c:layout>
      <c:lineChart>
        <c:grouping val="standard"/>
        <c:varyColors val="0"/>
        <c:ser>
          <c:idx val="0"/>
          <c:order val="0"/>
          <c:tx>
            <c:strRef>
              <c:f>Sheet7!$R$10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Sheet7!$Q$11:$Q$36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Sheet7!$R$11:$R$36</c:f>
              <c:numCache>
                <c:formatCode>General</c:formatCode>
                <c:ptCount val="25"/>
                <c:pt idx="0">
                  <c:v>80.583333333333329</c:v>
                </c:pt>
                <c:pt idx="1">
                  <c:v>76.577692307692303</c:v>
                </c:pt>
                <c:pt idx="2">
                  <c:v>79.124615384615396</c:v>
                </c:pt>
                <c:pt idx="3">
                  <c:v>77.085454545454553</c:v>
                </c:pt>
                <c:pt idx="4">
                  <c:v>71.8</c:v>
                </c:pt>
                <c:pt idx="5">
                  <c:v>75.707499999999996</c:v>
                </c:pt>
                <c:pt idx="6">
                  <c:v>78.400000000000006</c:v>
                </c:pt>
                <c:pt idx="7">
                  <c:v>82.759999999999991</c:v>
                </c:pt>
                <c:pt idx="8">
                  <c:v>74.390909090909091</c:v>
                </c:pt>
                <c:pt idx="9">
                  <c:v>70.973571428571432</c:v>
                </c:pt>
                <c:pt idx="10">
                  <c:v>80.149230769230755</c:v>
                </c:pt>
                <c:pt idx="11">
                  <c:v>78.435555555555567</c:v>
                </c:pt>
                <c:pt idx="12">
                  <c:v>78.589999999999989</c:v>
                </c:pt>
                <c:pt idx="13">
                  <c:v>74.592499999999987</c:v>
                </c:pt>
                <c:pt idx="14">
                  <c:v>82.880769230769232</c:v>
                </c:pt>
                <c:pt idx="15">
                  <c:v>80.481818181818184</c:v>
                </c:pt>
                <c:pt idx="16">
                  <c:v>73.08</c:v>
                </c:pt>
                <c:pt idx="17">
                  <c:v>80.892499999999998</c:v>
                </c:pt>
                <c:pt idx="18">
                  <c:v>73.790000000000006</c:v>
                </c:pt>
                <c:pt idx="19">
                  <c:v>75.626363636363635</c:v>
                </c:pt>
                <c:pt idx="20">
                  <c:v>70.141999999999996</c:v>
                </c:pt>
                <c:pt idx="21">
                  <c:v>81.822857142857146</c:v>
                </c:pt>
                <c:pt idx="22">
                  <c:v>73.618571428571428</c:v>
                </c:pt>
                <c:pt idx="23">
                  <c:v>79.641818181818181</c:v>
                </c:pt>
                <c:pt idx="24">
                  <c:v>82.061666666666667</c:v>
                </c:pt>
              </c:numCache>
            </c:numRef>
          </c:val>
          <c:smooth val="0"/>
          <c:extLst>
            <c:ext xmlns:c16="http://schemas.microsoft.com/office/drawing/2014/chart" uri="{C3380CC4-5D6E-409C-BE32-E72D297353CC}">
              <c16:uniqueId val="{00000000-E3EF-4D23-ABF6-C85C1AC0AA49}"/>
            </c:ext>
          </c:extLst>
        </c:ser>
        <c:dLbls>
          <c:dLblPos val="t"/>
          <c:showLegendKey val="0"/>
          <c:showVal val="0"/>
          <c:showCatName val="0"/>
          <c:showSerName val="0"/>
          <c:showPercent val="0"/>
          <c:showBubbleSize val="0"/>
        </c:dLbls>
        <c:marker val="1"/>
        <c:smooth val="0"/>
        <c:axId val="665731712"/>
        <c:axId val="665732672"/>
      </c:lineChart>
      <c:catAx>
        <c:axId val="665731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mr-IN"/>
          </a:p>
        </c:txPr>
        <c:crossAx val="665732672"/>
        <c:crosses val="autoZero"/>
        <c:auto val="1"/>
        <c:lblAlgn val="ctr"/>
        <c:lblOffset val="100"/>
        <c:noMultiLvlLbl val="0"/>
      </c:catAx>
      <c:valAx>
        <c:axId val="665732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66573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[global_poverty_economic_inequality_dataset (1).xlsx]Sheet7!PivotTable16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Gini</a:t>
            </a:r>
            <a:r>
              <a:rPr lang="en-IN" baseline="0"/>
              <a:t> index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804229021932911E-2"/>
          <c:y val="0.10584549265810281"/>
          <c:w val="0.93181511815526641"/>
          <c:h val="0.61347305624324588"/>
        </c:manualLayout>
      </c:layout>
      <c:barChart>
        <c:barDir val="col"/>
        <c:grouping val="stacked"/>
        <c:varyColors val="0"/>
        <c:ser>
          <c:idx val="0"/>
          <c:order val="0"/>
          <c:tx>
            <c:strRef>
              <c:f>Sheet7!$AA$10</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Sheet7!$Z$11:$Z$36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Sheet7!$AA$11:$AA$36</c:f>
              <c:numCache>
                <c:formatCode>General</c:formatCode>
                <c:ptCount val="25"/>
                <c:pt idx="0">
                  <c:v>9</c:v>
                </c:pt>
                <c:pt idx="1">
                  <c:v>13</c:v>
                </c:pt>
                <c:pt idx="2">
                  <c:v>13</c:v>
                </c:pt>
                <c:pt idx="3">
                  <c:v>11</c:v>
                </c:pt>
                <c:pt idx="4">
                  <c:v>2</c:v>
                </c:pt>
                <c:pt idx="5">
                  <c:v>12</c:v>
                </c:pt>
                <c:pt idx="6">
                  <c:v>14</c:v>
                </c:pt>
                <c:pt idx="7">
                  <c:v>5</c:v>
                </c:pt>
                <c:pt idx="8">
                  <c:v>11</c:v>
                </c:pt>
                <c:pt idx="9">
                  <c:v>14</c:v>
                </c:pt>
                <c:pt idx="10">
                  <c:v>13</c:v>
                </c:pt>
                <c:pt idx="11">
                  <c:v>9</c:v>
                </c:pt>
                <c:pt idx="12">
                  <c:v>9</c:v>
                </c:pt>
                <c:pt idx="13">
                  <c:v>12</c:v>
                </c:pt>
                <c:pt idx="14">
                  <c:v>13</c:v>
                </c:pt>
                <c:pt idx="15">
                  <c:v>11</c:v>
                </c:pt>
                <c:pt idx="16">
                  <c:v>3</c:v>
                </c:pt>
                <c:pt idx="17">
                  <c:v>8</c:v>
                </c:pt>
                <c:pt idx="18">
                  <c:v>16</c:v>
                </c:pt>
                <c:pt idx="19">
                  <c:v>11</c:v>
                </c:pt>
                <c:pt idx="20">
                  <c:v>10</c:v>
                </c:pt>
                <c:pt idx="21">
                  <c:v>7</c:v>
                </c:pt>
                <c:pt idx="22">
                  <c:v>7</c:v>
                </c:pt>
                <c:pt idx="23">
                  <c:v>11</c:v>
                </c:pt>
                <c:pt idx="24">
                  <c:v>6</c:v>
                </c:pt>
              </c:numCache>
            </c:numRef>
          </c:val>
          <c:extLst>
            <c:ext xmlns:c16="http://schemas.microsoft.com/office/drawing/2014/chart" uri="{C3380CC4-5D6E-409C-BE32-E72D297353CC}">
              <c16:uniqueId val="{00000000-922B-4E6C-A2B8-E242A844E74E}"/>
            </c:ext>
          </c:extLst>
        </c:ser>
        <c:dLbls>
          <c:showLegendKey val="0"/>
          <c:showVal val="0"/>
          <c:showCatName val="0"/>
          <c:showSerName val="0"/>
          <c:showPercent val="0"/>
          <c:showBubbleSize val="0"/>
        </c:dLbls>
        <c:gapWidth val="150"/>
        <c:overlap val="100"/>
        <c:axId val="1660302512"/>
        <c:axId val="1660302032"/>
      </c:barChart>
      <c:catAx>
        <c:axId val="1660302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1660302032"/>
        <c:crosses val="autoZero"/>
        <c:auto val="1"/>
        <c:lblAlgn val="ctr"/>
        <c:lblOffset val="100"/>
        <c:noMultiLvlLbl val="0"/>
      </c:catAx>
      <c:valAx>
        <c:axId val="166030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16603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[global_poverty_economic_inequality_dataset (1).xlsx]Sheet7!PivotTable13</c:name>
    <c:fmtId val="0"/>
  </c:pivotSource>
  <c:chart>
    <c:autoTitleDeleted val="1"/>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Sheet7!$B$9</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Sheet7!$A$10:$A$35</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Sheet7!$B$10:$B$35</c:f>
              <c:numCache>
                <c:formatCode>General</c:formatCode>
                <c:ptCount val="25"/>
                <c:pt idx="0">
                  <c:v>40380.5</c:v>
                </c:pt>
                <c:pt idx="1">
                  <c:v>38922.986153846148</c:v>
                </c:pt>
                <c:pt idx="2">
                  <c:v>36649.290769230771</c:v>
                </c:pt>
                <c:pt idx="3">
                  <c:v>29824.912727272724</c:v>
                </c:pt>
                <c:pt idx="4">
                  <c:v>35090.524999999994</c:v>
                </c:pt>
                <c:pt idx="5">
                  <c:v>28119.25916666667</c:v>
                </c:pt>
                <c:pt idx="6">
                  <c:v>31591.229285714278</c:v>
                </c:pt>
                <c:pt idx="7">
                  <c:v>39379.305999999997</c:v>
                </c:pt>
                <c:pt idx="8">
                  <c:v>32278.74090909091</c:v>
                </c:pt>
                <c:pt idx="9">
                  <c:v>32636.400000000001</c:v>
                </c:pt>
                <c:pt idx="10">
                  <c:v>31640.223846153855</c:v>
                </c:pt>
                <c:pt idx="11">
                  <c:v>44901.390000000007</c:v>
                </c:pt>
                <c:pt idx="12">
                  <c:v>35101.434444444443</c:v>
                </c:pt>
                <c:pt idx="13">
                  <c:v>40816.180833333332</c:v>
                </c:pt>
                <c:pt idx="14">
                  <c:v>36315.531538461539</c:v>
                </c:pt>
                <c:pt idx="15">
                  <c:v>42809.438181818179</c:v>
                </c:pt>
                <c:pt idx="16">
                  <c:v>65832.673333333325</c:v>
                </c:pt>
                <c:pt idx="17">
                  <c:v>19022.502500000002</c:v>
                </c:pt>
                <c:pt idx="18">
                  <c:v>35808.525625000002</c:v>
                </c:pt>
                <c:pt idx="19">
                  <c:v>25763.901818181817</c:v>
                </c:pt>
                <c:pt idx="20">
                  <c:v>41935.42</c:v>
                </c:pt>
                <c:pt idx="21">
                  <c:v>26934.752857142856</c:v>
                </c:pt>
                <c:pt idx="22">
                  <c:v>28903.57857142857</c:v>
                </c:pt>
                <c:pt idx="23">
                  <c:v>32244.702727272732</c:v>
                </c:pt>
                <c:pt idx="24">
                  <c:v>42387.213333333333</c:v>
                </c:pt>
              </c:numCache>
            </c:numRef>
          </c:val>
          <c:extLst>
            <c:ext xmlns:c16="http://schemas.microsoft.com/office/drawing/2014/chart" uri="{C3380CC4-5D6E-409C-BE32-E72D297353CC}">
              <c16:uniqueId val="{00000000-2E4E-4F66-AAFF-E5BDD89EFAA8}"/>
            </c:ext>
          </c:extLst>
        </c:ser>
        <c:dLbls>
          <c:showLegendKey val="0"/>
          <c:showVal val="0"/>
          <c:showCatName val="0"/>
          <c:showSerName val="0"/>
          <c:showPercent val="0"/>
          <c:showBubbleSize val="0"/>
        </c:dLbls>
        <c:gapWidth val="100"/>
        <c:overlap val="-24"/>
        <c:axId val="477816512"/>
        <c:axId val="1660903888"/>
      </c:barChart>
      <c:catAx>
        <c:axId val="4778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mr-IN"/>
          </a:p>
        </c:txPr>
        <c:crossAx val="1660903888"/>
        <c:crosses val="autoZero"/>
        <c:auto val="1"/>
        <c:lblAlgn val="ctr"/>
        <c:lblOffset val="100"/>
        <c:noMultiLvlLbl val="0"/>
      </c:catAx>
      <c:valAx>
        <c:axId val="16609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mr-IN"/>
          </a:p>
        </c:txPr>
        <c:crossAx val="47781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rgbClr val="FFC000"/>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[global_poverty_economic_inequality_dataset (1).xlsx]Sheet7!PivotTable14</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Sheet7!$J$10</c:f>
              <c:strCache>
                <c:ptCount val="1"/>
                <c:pt idx="0">
                  <c:v>Total</c:v>
                </c:pt>
              </c:strCache>
            </c:strRef>
          </c:tx>
          <c:spPr>
            <a:solidFill>
              <a:schemeClr val="accent3"/>
            </a:solidFill>
            <a:ln>
              <a:noFill/>
            </a:ln>
            <a:effectLst/>
          </c:spPr>
          <c:invertIfNegative val="0"/>
          <c:cat>
            <c:strRef>
              <c:f>Sheet7!$I$11:$I$36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Sheet7!$J$11:$J$36</c:f>
              <c:numCache>
                <c:formatCode>General</c:formatCode>
                <c:ptCount val="25"/>
                <c:pt idx="0">
                  <c:v>14.975555555555555</c:v>
                </c:pt>
                <c:pt idx="1">
                  <c:v>11.55</c:v>
                </c:pt>
                <c:pt idx="2">
                  <c:v>19.279230769230765</c:v>
                </c:pt>
                <c:pt idx="3">
                  <c:v>17.168181818181822</c:v>
                </c:pt>
                <c:pt idx="4">
                  <c:v>16.900000000000002</c:v>
                </c:pt>
                <c:pt idx="5">
                  <c:v>14.330000000000004</c:v>
                </c:pt>
                <c:pt idx="6">
                  <c:v>15</c:v>
                </c:pt>
                <c:pt idx="7">
                  <c:v>20.824000000000002</c:v>
                </c:pt>
                <c:pt idx="8">
                  <c:v>17.009999999999998</c:v>
                </c:pt>
                <c:pt idx="9">
                  <c:v>15.294285714285712</c:v>
                </c:pt>
                <c:pt idx="10">
                  <c:v>17.970769230769232</c:v>
                </c:pt>
                <c:pt idx="11">
                  <c:v>18.647777777777776</c:v>
                </c:pt>
                <c:pt idx="12">
                  <c:v>16.54111111111111</c:v>
                </c:pt>
                <c:pt idx="13">
                  <c:v>17.509166666666669</c:v>
                </c:pt>
                <c:pt idx="14">
                  <c:v>12.171538461538463</c:v>
                </c:pt>
                <c:pt idx="15">
                  <c:v>13.134545454545453</c:v>
                </c:pt>
                <c:pt idx="16">
                  <c:v>17.59333333333333</c:v>
                </c:pt>
                <c:pt idx="17">
                  <c:v>15.536249999999999</c:v>
                </c:pt>
                <c:pt idx="18">
                  <c:v>14.728124999999999</c:v>
                </c:pt>
                <c:pt idx="19">
                  <c:v>14.957272727272727</c:v>
                </c:pt>
                <c:pt idx="20">
                  <c:v>15.178999999999998</c:v>
                </c:pt>
                <c:pt idx="21">
                  <c:v>18.271428571428569</c:v>
                </c:pt>
                <c:pt idx="22">
                  <c:v>11.33</c:v>
                </c:pt>
                <c:pt idx="23">
                  <c:v>18.550909090909091</c:v>
                </c:pt>
                <c:pt idx="24">
                  <c:v>11.368333333333334</c:v>
                </c:pt>
              </c:numCache>
            </c:numRef>
          </c:val>
          <c:extLst>
            <c:ext xmlns:c16="http://schemas.microsoft.com/office/drawing/2014/chart" uri="{C3380CC4-5D6E-409C-BE32-E72D297353CC}">
              <c16:uniqueId val="{00000000-8B1B-4008-A703-CEAF667C432C}"/>
            </c:ext>
          </c:extLst>
        </c:ser>
        <c:dLbls>
          <c:showLegendKey val="0"/>
          <c:showVal val="0"/>
          <c:showCatName val="0"/>
          <c:showSerName val="0"/>
          <c:showPercent val="0"/>
          <c:showBubbleSize val="0"/>
        </c:dLbls>
        <c:gapWidth val="182"/>
        <c:axId val="68202896"/>
        <c:axId val="68201456"/>
      </c:barChart>
      <c:catAx>
        <c:axId val="6820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crossAx val="68201456"/>
        <c:crosses val="autoZero"/>
        <c:auto val="1"/>
        <c:lblAlgn val="ctr"/>
        <c:lblOffset val="100"/>
        <c:noMultiLvlLbl val="0"/>
      </c:catAx>
      <c:valAx>
        <c:axId val="6820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crossAx val="682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[global_poverty_economic_inequality_dataset (1).xlsx]Sheet7!PivotTable15</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09390688075021E-2"/>
          <c:y val="0.13323855351414407"/>
          <c:w val="0.926830471299252"/>
          <c:h val="0.47962598425196851"/>
        </c:manualLayout>
      </c:layout>
      <c:lineChart>
        <c:grouping val="standard"/>
        <c:varyColors val="0"/>
        <c:ser>
          <c:idx val="0"/>
          <c:order val="0"/>
          <c:tx>
            <c:strRef>
              <c:f>Sheet7!$R$10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Sheet7!$Q$11:$Q$36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Sheet7!$R$11:$R$36</c:f>
              <c:numCache>
                <c:formatCode>General</c:formatCode>
                <c:ptCount val="25"/>
                <c:pt idx="0">
                  <c:v>80.583333333333329</c:v>
                </c:pt>
                <c:pt idx="1">
                  <c:v>76.577692307692303</c:v>
                </c:pt>
                <c:pt idx="2">
                  <c:v>79.124615384615396</c:v>
                </c:pt>
                <c:pt idx="3">
                  <c:v>77.085454545454553</c:v>
                </c:pt>
                <c:pt idx="4">
                  <c:v>71.8</c:v>
                </c:pt>
                <c:pt idx="5">
                  <c:v>75.707499999999996</c:v>
                </c:pt>
                <c:pt idx="6">
                  <c:v>78.400000000000006</c:v>
                </c:pt>
                <c:pt idx="7">
                  <c:v>82.759999999999991</c:v>
                </c:pt>
                <c:pt idx="8">
                  <c:v>74.390909090909091</c:v>
                </c:pt>
                <c:pt idx="9">
                  <c:v>70.973571428571432</c:v>
                </c:pt>
                <c:pt idx="10">
                  <c:v>80.149230769230755</c:v>
                </c:pt>
                <c:pt idx="11">
                  <c:v>78.435555555555567</c:v>
                </c:pt>
                <c:pt idx="12">
                  <c:v>78.589999999999989</c:v>
                </c:pt>
                <c:pt idx="13">
                  <c:v>74.592499999999987</c:v>
                </c:pt>
                <c:pt idx="14">
                  <c:v>82.880769230769232</c:v>
                </c:pt>
                <c:pt idx="15">
                  <c:v>80.481818181818184</c:v>
                </c:pt>
                <c:pt idx="16">
                  <c:v>73.08</c:v>
                </c:pt>
                <c:pt idx="17">
                  <c:v>80.892499999999998</c:v>
                </c:pt>
                <c:pt idx="18">
                  <c:v>73.790000000000006</c:v>
                </c:pt>
                <c:pt idx="19">
                  <c:v>75.626363636363635</c:v>
                </c:pt>
                <c:pt idx="20">
                  <c:v>70.141999999999996</c:v>
                </c:pt>
                <c:pt idx="21">
                  <c:v>81.822857142857146</c:v>
                </c:pt>
                <c:pt idx="22">
                  <c:v>73.618571428571428</c:v>
                </c:pt>
                <c:pt idx="23">
                  <c:v>79.641818181818181</c:v>
                </c:pt>
                <c:pt idx="24">
                  <c:v>82.061666666666667</c:v>
                </c:pt>
              </c:numCache>
            </c:numRef>
          </c:val>
          <c:smooth val="0"/>
          <c:extLst>
            <c:ext xmlns:c16="http://schemas.microsoft.com/office/drawing/2014/chart" uri="{C3380CC4-5D6E-409C-BE32-E72D297353CC}">
              <c16:uniqueId val="{00000000-7A30-4807-BC2B-C47C19A6ED7F}"/>
            </c:ext>
          </c:extLst>
        </c:ser>
        <c:dLbls>
          <c:showLegendKey val="0"/>
          <c:showVal val="0"/>
          <c:showCatName val="0"/>
          <c:showSerName val="0"/>
          <c:showPercent val="0"/>
          <c:showBubbleSize val="0"/>
        </c:dLbls>
        <c:marker val="1"/>
        <c:smooth val="0"/>
        <c:axId val="665731712"/>
        <c:axId val="665732672"/>
      </c:lineChart>
      <c:catAx>
        <c:axId val="665731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665732672"/>
        <c:crosses val="autoZero"/>
        <c:auto val="1"/>
        <c:lblAlgn val="ctr"/>
        <c:lblOffset val="100"/>
        <c:noMultiLvlLbl val="0"/>
      </c:catAx>
      <c:valAx>
        <c:axId val="66573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crossAx val="66573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[global_poverty_economic_inequality_dataset (1).xlsx]Sheet7!PivotTable16</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36482939632547E-2"/>
          <c:y val="0.16101627259540952"/>
          <c:w val="0.89941907261592302"/>
          <c:h val="0.43531225017780323"/>
        </c:manualLayout>
      </c:layout>
      <c:barChart>
        <c:barDir val="col"/>
        <c:grouping val="stacked"/>
        <c:varyColors val="0"/>
        <c:ser>
          <c:idx val="0"/>
          <c:order val="0"/>
          <c:tx>
            <c:strRef>
              <c:f>Sheet7!$AA$10</c:f>
              <c:strCache>
                <c:ptCount val="1"/>
                <c:pt idx="0">
                  <c:v>Total</c:v>
                </c:pt>
              </c:strCache>
            </c:strRef>
          </c:tx>
          <c:spPr>
            <a:solidFill>
              <a:schemeClr val="accent4"/>
            </a:solidFill>
            <a:ln>
              <a:noFill/>
            </a:ln>
            <a:effectLst/>
          </c:spPr>
          <c:invertIfNegative val="0"/>
          <c:cat>
            <c:strRef>
              <c:f>Sheet7!$Z$11:$Z$36</c:f>
              <c:strCache>
                <c:ptCount val="25"/>
                <c:pt idx="0">
                  <c:v>Argentina</c:v>
                </c:pt>
                <c:pt idx="1">
                  <c:v>Australia</c:v>
                </c:pt>
                <c:pt idx="2">
                  <c:v>Bangladesh</c:v>
                </c:pt>
                <c:pt idx="3">
                  <c:v>Brazil</c:v>
                </c:pt>
                <c:pt idx="4">
                  <c:v>Canada</c:v>
                </c:pt>
                <c:pt idx="5">
                  <c:v>China</c:v>
                </c:pt>
                <c:pt idx="6">
                  <c:v>Egypt</c:v>
                </c:pt>
                <c:pt idx="7">
                  <c:v>Ethiopia</c:v>
                </c:pt>
                <c:pt idx="8">
                  <c:v>France</c:v>
                </c:pt>
                <c:pt idx="9">
                  <c:v>Germany</c:v>
                </c:pt>
                <c:pt idx="10">
                  <c:v>India</c:v>
                </c:pt>
                <c:pt idx="11">
                  <c:v>Indonesia</c:v>
                </c:pt>
                <c:pt idx="12">
                  <c:v>Japan</c:v>
                </c:pt>
                <c:pt idx="13">
                  <c:v>Kenya</c:v>
                </c:pt>
                <c:pt idx="14">
                  <c:v>Mexico</c:v>
                </c:pt>
                <c:pt idx="15">
                  <c:v>Nigeria</c:v>
                </c:pt>
                <c:pt idx="16">
                  <c:v>Pakistan</c:v>
                </c:pt>
                <c:pt idx="17">
                  <c:v>Peru</c:v>
                </c:pt>
                <c:pt idx="18">
                  <c:v>Philippines</c:v>
                </c:pt>
                <c:pt idx="19">
                  <c:v>Russia</c:v>
                </c:pt>
                <c:pt idx="20">
                  <c:v>South Africa</c:v>
                </c:pt>
                <c:pt idx="21">
                  <c:v>Turkey</c:v>
                </c:pt>
                <c:pt idx="22">
                  <c:v>United Kingdom</c:v>
                </c:pt>
                <c:pt idx="23">
                  <c:v>United States</c:v>
                </c:pt>
                <c:pt idx="24">
                  <c:v>Vietnam</c:v>
                </c:pt>
              </c:strCache>
            </c:strRef>
          </c:cat>
          <c:val>
            <c:numRef>
              <c:f>Sheet7!$AA$11:$AA$36</c:f>
              <c:numCache>
                <c:formatCode>General</c:formatCode>
                <c:ptCount val="25"/>
                <c:pt idx="0">
                  <c:v>9</c:v>
                </c:pt>
                <c:pt idx="1">
                  <c:v>13</c:v>
                </c:pt>
                <c:pt idx="2">
                  <c:v>13</c:v>
                </c:pt>
                <c:pt idx="3">
                  <c:v>11</c:v>
                </c:pt>
                <c:pt idx="4">
                  <c:v>2</c:v>
                </c:pt>
                <c:pt idx="5">
                  <c:v>12</c:v>
                </c:pt>
                <c:pt idx="6">
                  <c:v>14</c:v>
                </c:pt>
                <c:pt idx="7">
                  <c:v>5</c:v>
                </c:pt>
                <c:pt idx="8">
                  <c:v>11</c:v>
                </c:pt>
                <c:pt idx="9">
                  <c:v>14</c:v>
                </c:pt>
                <c:pt idx="10">
                  <c:v>13</c:v>
                </c:pt>
                <c:pt idx="11">
                  <c:v>9</c:v>
                </c:pt>
                <c:pt idx="12">
                  <c:v>9</c:v>
                </c:pt>
                <c:pt idx="13">
                  <c:v>12</c:v>
                </c:pt>
                <c:pt idx="14">
                  <c:v>13</c:v>
                </c:pt>
                <c:pt idx="15">
                  <c:v>11</c:v>
                </c:pt>
                <c:pt idx="16">
                  <c:v>3</c:v>
                </c:pt>
                <c:pt idx="17">
                  <c:v>8</c:v>
                </c:pt>
                <c:pt idx="18">
                  <c:v>16</c:v>
                </c:pt>
                <c:pt idx="19">
                  <c:v>11</c:v>
                </c:pt>
                <c:pt idx="20">
                  <c:v>10</c:v>
                </c:pt>
                <c:pt idx="21">
                  <c:v>7</c:v>
                </c:pt>
                <c:pt idx="22">
                  <c:v>7</c:v>
                </c:pt>
                <c:pt idx="23">
                  <c:v>11</c:v>
                </c:pt>
                <c:pt idx="24">
                  <c:v>6</c:v>
                </c:pt>
              </c:numCache>
            </c:numRef>
          </c:val>
          <c:extLst>
            <c:ext xmlns:c16="http://schemas.microsoft.com/office/drawing/2014/chart" uri="{C3380CC4-5D6E-409C-BE32-E72D297353CC}">
              <c16:uniqueId val="{00000000-6851-42CA-9C05-88C2F97BF26C}"/>
            </c:ext>
          </c:extLst>
        </c:ser>
        <c:dLbls>
          <c:showLegendKey val="0"/>
          <c:showVal val="0"/>
          <c:showCatName val="0"/>
          <c:showSerName val="0"/>
          <c:showPercent val="0"/>
          <c:showBubbleSize val="0"/>
        </c:dLbls>
        <c:gapWidth val="219"/>
        <c:overlap val="100"/>
        <c:axId val="1660302512"/>
        <c:axId val="1660302032"/>
      </c:barChart>
      <c:catAx>
        <c:axId val="166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crossAx val="1660302032"/>
        <c:crosses val="autoZero"/>
        <c:auto val="1"/>
        <c:lblAlgn val="ctr"/>
        <c:lblOffset val="100"/>
        <c:noMultiLvlLbl val="0"/>
      </c:catAx>
      <c:valAx>
        <c:axId val="166030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mr-IN"/>
          </a:p>
        </c:txPr>
        <c:crossAx val="16603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3" Type="http://schemas.openxmlformats.org/officeDocument/2006/relationships/image" Target="../media/image1.png"/><Relationship Id="rId7" Type="http://schemas.openxmlformats.org/officeDocument/2006/relationships/chart" Target="../charts/chart3.xml"/><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6.svg"/><Relationship Id="rId4" Type="http://schemas.openxmlformats.org/officeDocument/2006/relationships/image" Target="../media/image2.svg"/><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14109</xdr:colOff>
      <xdr:row>7</xdr:row>
      <xdr:rowOff>28221</xdr:rowOff>
    </xdr:from>
    <xdr:to>
      <xdr:col>14</xdr:col>
      <xdr:colOff>1164167</xdr:colOff>
      <xdr:row>22</xdr:row>
      <xdr:rowOff>188148</xdr:rowOff>
    </xdr:to>
    <xdr:graphicFrame macro="">
      <xdr:nvGraphicFramePr>
        <xdr:cNvPr id="32" name="Chart 31">
          <a:extLst>
            <a:ext uri="{FF2B5EF4-FFF2-40B4-BE49-F238E27FC236}">
              <a16:creationId xmlns:a16="http://schemas.microsoft.com/office/drawing/2014/main" id="{82444020-3B1E-443B-8B1D-6E4B34465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1187684</xdr:colOff>
      <xdr:row>7</xdr:row>
      <xdr:rowOff>35278</xdr:rowOff>
    </xdr:from>
    <xdr:to>
      <xdr:col>18</xdr:col>
      <xdr:colOff>35276</xdr:colOff>
      <xdr:row>23</xdr:row>
      <xdr:rowOff>35278</xdr:rowOff>
    </xdr:to>
    <xdr:graphicFrame macro="">
      <xdr:nvGraphicFramePr>
        <xdr:cNvPr id="33" name="Chart 32">
          <a:extLst>
            <a:ext uri="{FF2B5EF4-FFF2-40B4-BE49-F238E27FC236}">
              <a16:creationId xmlns:a16="http://schemas.microsoft.com/office/drawing/2014/main" id="{DA9BFFF5-15D7-44AC-9593-912BE8F38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199907</xdr:colOff>
      <xdr:row>4</xdr:row>
      <xdr:rowOff>296333</xdr:rowOff>
    </xdr:from>
    <xdr:to>
      <xdr:col>8</xdr:col>
      <xdr:colOff>42336</xdr:colOff>
      <xdr:row>36</xdr:row>
      <xdr:rowOff>117592</xdr:rowOff>
    </xdr:to>
    <xdr:sp macro="" textlink="">
      <xdr:nvSpPr>
        <xdr:cNvPr id="34" name="Rectangle 33">
          <a:extLst>
            <a:ext uri="{FF2B5EF4-FFF2-40B4-BE49-F238E27FC236}">
              <a16:creationId xmlns:a16="http://schemas.microsoft.com/office/drawing/2014/main" id="{6E940DA4-9EA8-DE02-6188-948ED58F4A59}"/>
            </a:ext>
          </a:extLst>
        </xdr:cNvPr>
        <xdr:cNvSpPr/>
      </xdr:nvSpPr>
      <xdr:spPr>
        <a:xfrm>
          <a:off x="2492963" y="1519296"/>
          <a:ext cx="3276132" cy="100988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3</xdr:col>
      <xdr:colOff>215661</xdr:colOff>
      <xdr:row>1</xdr:row>
      <xdr:rowOff>268112</xdr:rowOff>
    </xdr:from>
    <xdr:to>
      <xdr:col>17</xdr:col>
      <xdr:colOff>4915370</xdr:colOff>
      <xdr:row>5</xdr:row>
      <xdr:rowOff>0</xdr:rowOff>
    </xdr:to>
    <xdr:sp macro="" textlink="">
      <xdr:nvSpPr>
        <xdr:cNvPr id="35" name="Rectangle 34">
          <a:extLst>
            <a:ext uri="{FF2B5EF4-FFF2-40B4-BE49-F238E27FC236}">
              <a16:creationId xmlns:a16="http://schemas.microsoft.com/office/drawing/2014/main" id="{29853CAD-8C72-6BD1-BF88-6E82AF384BC4}"/>
            </a:ext>
          </a:extLst>
        </xdr:cNvPr>
        <xdr:cNvSpPr/>
      </xdr:nvSpPr>
      <xdr:spPr>
        <a:xfrm>
          <a:off x="2508717" y="573853"/>
          <a:ext cx="19093042" cy="95485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rgbClr val="FFFF00"/>
              </a:solidFill>
            </a:rPr>
            <a:t>Dashboard of global poverty v/s unemployment</a:t>
          </a:r>
          <a:r>
            <a:rPr lang="en-US" sz="3200" b="1" baseline="0">
              <a:solidFill>
                <a:srgbClr val="FFFF00"/>
              </a:solidFill>
            </a:rPr>
            <a:t> rate</a:t>
          </a:r>
          <a:endParaRPr lang="mr-IN" sz="3200" b="1">
            <a:solidFill>
              <a:srgbClr val="FFFF00"/>
            </a:solidFill>
          </a:endParaRPr>
        </a:p>
      </xdr:txBody>
    </xdr:sp>
    <xdr:clientData/>
  </xdr:twoCellAnchor>
  <xdr:twoCellAnchor editAs="oneCell">
    <xdr:from>
      <xdr:col>8</xdr:col>
      <xdr:colOff>14110</xdr:colOff>
      <xdr:row>1</xdr:row>
      <xdr:rowOff>296335</xdr:rowOff>
    </xdr:from>
    <xdr:to>
      <xdr:col>8</xdr:col>
      <xdr:colOff>928510</xdr:colOff>
      <xdr:row>4</xdr:row>
      <xdr:rowOff>279401</xdr:rowOff>
    </xdr:to>
    <xdr:pic>
      <xdr:nvPicPr>
        <xdr:cNvPr id="37" name="Graphic 36" descr="Earth globe Africa and Europe">
          <a:extLst>
            <a:ext uri="{FF2B5EF4-FFF2-40B4-BE49-F238E27FC236}">
              <a16:creationId xmlns:a16="http://schemas.microsoft.com/office/drawing/2014/main" id="{9040F21E-0B9E-984D-F8BC-E3B425C933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29110" y="606779"/>
          <a:ext cx="914400" cy="914400"/>
        </a:xfrm>
        <a:prstGeom prst="rect">
          <a:avLst/>
        </a:prstGeom>
      </xdr:spPr>
    </xdr:pic>
    <xdr:clientData/>
  </xdr:twoCellAnchor>
  <xdr:twoCellAnchor editAs="oneCell">
    <xdr:from>
      <xdr:col>8</xdr:col>
      <xdr:colOff>225778</xdr:colOff>
      <xdr:row>5</xdr:row>
      <xdr:rowOff>479778</xdr:rowOff>
    </xdr:from>
    <xdr:to>
      <xdr:col>8</xdr:col>
      <xdr:colOff>832555</xdr:colOff>
      <xdr:row>7</xdr:row>
      <xdr:rowOff>1262</xdr:rowOff>
    </xdr:to>
    <xdr:pic>
      <xdr:nvPicPr>
        <xdr:cNvPr id="39" name="Graphic 38" descr="Dollar">
          <a:extLst>
            <a:ext uri="{FF2B5EF4-FFF2-40B4-BE49-F238E27FC236}">
              <a16:creationId xmlns:a16="http://schemas.microsoft.com/office/drawing/2014/main" id="{BD173B66-C25F-8151-4E4E-7EF4C27C52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40778" y="2032000"/>
          <a:ext cx="606777" cy="618066"/>
        </a:xfrm>
        <a:prstGeom prst="rect">
          <a:avLst/>
        </a:prstGeom>
      </xdr:spPr>
    </xdr:pic>
    <xdr:clientData/>
  </xdr:twoCellAnchor>
  <xdr:twoCellAnchor>
    <xdr:from>
      <xdr:col>8</xdr:col>
      <xdr:colOff>79963</xdr:colOff>
      <xdr:row>22</xdr:row>
      <xdr:rowOff>199909</xdr:rowOff>
    </xdr:from>
    <xdr:to>
      <xdr:col>14</xdr:col>
      <xdr:colOff>1199444</xdr:colOff>
      <xdr:row>36</xdr:row>
      <xdr:rowOff>152870</xdr:rowOff>
    </xdr:to>
    <xdr:graphicFrame macro="">
      <xdr:nvGraphicFramePr>
        <xdr:cNvPr id="41" name="Chart 40">
          <a:extLst>
            <a:ext uri="{FF2B5EF4-FFF2-40B4-BE49-F238E27FC236}">
              <a16:creationId xmlns:a16="http://schemas.microsoft.com/office/drawing/2014/main" id="{AF4054B2-9851-4E8E-8720-436E05799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1234722</xdr:colOff>
      <xdr:row>22</xdr:row>
      <xdr:rowOff>235186</xdr:rowOff>
    </xdr:from>
    <xdr:to>
      <xdr:col>17</xdr:col>
      <xdr:colOff>4915372</xdr:colOff>
      <xdr:row>36</xdr:row>
      <xdr:rowOff>152870</xdr:rowOff>
    </xdr:to>
    <xdr:graphicFrame macro="">
      <xdr:nvGraphicFramePr>
        <xdr:cNvPr id="42" name="Chart 41">
          <a:extLst>
            <a:ext uri="{FF2B5EF4-FFF2-40B4-BE49-F238E27FC236}">
              <a16:creationId xmlns:a16="http://schemas.microsoft.com/office/drawing/2014/main" id="{05932BD9-AD8F-4383-84FF-E179487C4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211667</xdr:colOff>
      <xdr:row>5</xdr:row>
      <xdr:rowOff>28222</xdr:rowOff>
    </xdr:from>
    <xdr:to>
      <xdr:col>8</xdr:col>
      <xdr:colOff>28222</xdr:colOff>
      <xdr:row>13</xdr:row>
      <xdr:rowOff>211666</xdr:rowOff>
    </xdr:to>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2AA85BDB-95F6-494B-9EE8-233C7990C8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12044" y="1525864"/>
              <a:ext cx="3267121" cy="3082877"/>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197556</xdr:colOff>
      <xdr:row>13</xdr:row>
      <xdr:rowOff>225777</xdr:rowOff>
    </xdr:from>
    <xdr:to>
      <xdr:col>8</xdr:col>
      <xdr:colOff>27151</xdr:colOff>
      <xdr:row>27</xdr:row>
      <xdr:rowOff>84667</xdr:rowOff>
    </xdr:to>
    <mc:AlternateContent xmlns:mc="http://schemas.openxmlformats.org/markup-compatibility/2006">
      <mc:Choice xmlns:a14="http://schemas.microsoft.com/office/drawing/2010/main" Requires="a14">
        <xdr:graphicFrame macro="">
          <xdr:nvGraphicFramePr>
            <xdr:cNvPr id="44" name="Country">
              <a:extLst>
                <a:ext uri="{FF2B5EF4-FFF2-40B4-BE49-F238E27FC236}">
                  <a16:creationId xmlns:a16="http://schemas.microsoft.com/office/drawing/2014/main" id="{3F22FFEE-B9DA-4BC9-9FAC-0C84C7AAD9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97933" y="4622852"/>
              <a:ext cx="3280161" cy="4052287"/>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508000</xdr:colOff>
      <xdr:row>5</xdr:row>
      <xdr:rowOff>423334</xdr:rowOff>
    </xdr:from>
    <xdr:to>
      <xdr:col>11</xdr:col>
      <xdr:colOff>1255888</xdr:colOff>
      <xdr:row>7</xdr:row>
      <xdr:rowOff>0</xdr:rowOff>
    </xdr:to>
    <xdr:pic>
      <xdr:nvPicPr>
        <xdr:cNvPr id="46" name="Graphic 45" descr="Man">
          <a:extLst>
            <a:ext uri="{FF2B5EF4-FFF2-40B4-BE49-F238E27FC236}">
              <a16:creationId xmlns:a16="http://schemas.microsoft.com/office/drawing/2014/main" id="{5C8AC86D-9D81-F2BB-1401-5B6D55B63B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55667" y="1975556"/>
          <a:ext cx="747888" cy="677333"/>
        </a:xfrm>
        <a:prstGeom prst="rect">
          <a:avLst/>
        </a:prstGeom>
      </xdr:spPr>
    </xdr:pic>
    <xdr:clientData/>
  </xdr:twoCellAnchor>
  <xdr:twoCellAnchor editAs="oneCell">
    <xdr:from>
      <xdr:col>14</xdr:col>
      <xdr:colOff>1016000</xdr:colOff>
      <xdr:row>5</xdr:row>
      <xdr:rowOff>423334</xdr:rowOff>
    </xdr:from>
    <xdr:to>
      <xdr:col>14</xdr:col>
      <xdr:colOff>1467556</xdr:colOff>
      <xdr:row>7</xdr:row>
      <xdr:rowOff>72945</xdr:rowOff>
    </xdr:to>
    <xdr:pic>
      <xdr:nvPicPr>
        <xdr:cNvPr id="48" name="Graphic 47" descr="Briefcase">
          <a:extLst>
            <a:ext uri="{FF2B5EF4-FFF2-40B4-BE49-F238E27FC236}">
              <a16:creationId xmlns:a16="http://schemas.microsoft.com/office/drawing/2014/main" id="{33CA9F08-4D41-44F5-1808-B66D1276D23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78556" y="1975556"/>
          <a:ext cx="451556" cy="750278"/>
        </a:xfrm>
        <a:prstGeom prst="rect">
          <a:avLst/>
        </a:prstGeom>
      </xdr:spPr>
    </xdr:pic>
    <xdr:clientData/>
  </xdr:twoCellAnchor>
  <xdr:twoCellAnchor editAs="oneCell">
    <xdr:from>
      <xdr:col>17</xdr:col>
      <xdr:colOff>1169448</xdr:colOff>
      <xdr:row>5</xdr:row>
      <xdr:rowOff>421203</xdr:rowOff>
    </xdr:from>
    <xdr:to>
      <xdr:col>17</xdr:col>
      <xdr:colOff>1762114</xdr:colOff>
      <xdr:row>7</xdr:row>
      <xdr:rowOff>82536</xdr:rowOff>
    </xdr:to>
    <xdr:pic>
      <xdr:nvPicPr>
        <xdr:cNvPr id="50" name="Graphic 49" descr="Bar chart">
          <a:extLst>
            <a:ext uri="{FF2B5EF4-FFF2-40B4-BE49-F238E27FC236}">
              <a16:creationId xmlns:a16="http://schemas.microsoft.com/office/drawing/2014/main" id="{41927469-2B47-CF56-6968-7B47A1570E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855837" y="1949907"/>
          <a:ext cx="592666" cy="7667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2679160</xdr:colOff>
      <xdr:row>8</xdr:row>
      <xdr:rowOff>87549</xdr:rowOff>
    </xdr:from>
    <xdr:to>
      <xdr:col>7</xdr:col>
      <xdr:colOff>752543</xdr:colOff>
      <xdr:row>17</xdr:row>
      <xdr:rowOff>34046</xdr:rowOff>
    </xdr:to>
    <xdr:graphicFrame macro="">
      <xdr:nvGraphicFramePr>
        <xdr:cNvPr id="5" name="Chart 4">
          <a:extLst>
            <a:ext uri="{FF2B5EF4-FFF2-40B4-BE49-F238E27FC236}">
              <a16:creationId xmlns:a16="http://schemas.microsoft.com/office/drawing/2014/main" id="{FD5981E8-DFE1-C1E8-04CA-EFABABA2A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247245</xdr:colOff>
      <xdr:row>9</xdr:row>
      <xdr:rowOff>141591</xdr:rowOff>
    </xdr:from>
    <xdr:to>
      <xdr:col>15</xdr:col>
      <xdr:colOff>540426</xdr:colOff>
      <xdr:row>18</xdr:row>
      <xdr:rowOff>88088</xdr:rowOff>
    </xdr:to>
    <xdr:graphicFrame macro="">
      <xdr:nvGraphicFramePr>
        <xdr:cNvPr id="6" name="Chart 5">
          <a:extLst>
            <a:ext uri="{FF2B5EF4-FFF2-40B4-BE49-F238E27FC236}">
              <a16:creationId xmlns:a16="http://schemas.microsoft.com/office/drawing/2014/main" id="{0C7387FD-E864-B6BB-DEC7-C682AD225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2753467</xdr:colOff>
      <xdr:row>9</xdr:row>
      <xdr:rowOff>87547</xdr:rowOff>
    </xdr:from>
    <xdr:to>
      <xdr:col>24</xdr:col>
      <xdr:colOff>27021</xdr:colOff>
      <xdr:row>18</xdr:row>
      <xdr:rowOff>34045</xdr:rowOff>
    </xdr:to>
    <xdr:graphicFrame macro="">
      <xdr:nvGraphicFramePr>
        <xdr:cNvPr id="7" name="Chart 6">
          <a:extLst>
            <a:ext uri="{FF2B5EF4-FFF2-40B4-BE49-F238E27FC236}">
              <a16:creationId xmlns:a16="http://schemas.microsoft.com/office/drawing/2014/main" id="{A8B116D6-A475-DAC1-CEA1-6D10AF4D7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78362</xdr:colOff>
      <xdr:row>9</xdr:row>
      <xdr:rowOff>141590</xdr:rowOff>
    </xdr:from>
    <xdr:to>
      <xdr:col>33</xdr:col>
      <xdr:colOff>110787</xdr:colOff>
      <xdr:row>18</xdr:row>
      <xdr:rowOff>88089</xdr:rowOff>
    </xdr:to>
    <xdr:graphicFrame macro="">
      <xdr:nvGraphicFramePr>
        <xdr:cNvPr id="8" name="Chart 7">
          <a:extLst>
            <a:ext uri="{FF2B5EF4-FFF2-40B4-BE49-F238E27FC236}">
              <a16:creationId xmlns:a16="http://schemas.microsoft.com/office/drawing/2014/main" id="{11328CB5-652F-D9A1-4880-1937996D9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Patil" refreshedDate="46168.005382407406" createdVersion="8" refreshedVersion="8" minRefreshableVersion="3" recordCount="250" xr:uid="{F24A8C31-684A-4B64-A372-24710868358B}">
  <cacheSource type="worksheet">
    <worksheetSource name="Table1"/>
  </cacheSource>
  <cacheFields count="12">
    <cacheField name="Entry_ID" numFmtId="0">
      <sharedItems containsSemiMixedTypes="0" containsString="0" containsNumber="1" containsInteger="1" minValue="1" maxValue="250"/>
    </cacheField>
    <cacheField name="Country" numFmtId="0">
      <sharedItems count="25">
        <s v="France"/>
        <s v="Indonesia"/>
        <s v="Australia"/>
        <s v="Mexico"/>
        <s v="Brazil"/>
        <s v="Philippines"/>
        <s v="United Kingdom"/>
        <s v="Turkey"/>
        <s v="Russia"/>
        <s v="Germany"/>
        <s v="Nigeria"/>
        <s v="South Africa"/>
        <s v="Kenya"/>
        <s v="Ethiopia"/>
        <s v="Peru"/>
        <s v="China"/>
        <s v="India"/>
        <s v="United States"/>
        <s v="Bangladesh"/>
        <s v="Argentina"/>
        <s v="Egypt"/>
        <s v="Japan"/>
        <s v="Pakistan"/>
        <s v="Vietnam"/>
        <s v="Canada"/>
      </sharedItems>
    </cacheField>
    <cacheField name="Year" numFmtId="0">
      <sharedItems containsSemiMixedTypes="0" containsString="0" containsNumber="1" containsInteger="1" minValue="2014" maxValue="2023" count="10">
        <n v="2014"/>
        <n v="2015"/>
        <n v="2016"/>
        <n v="2017"/>
        <n v="2018"/>
        <n v="2019"/>
        <n v="2020"/>
        <n v="2021"/>
        <n v="2022"/>
        <n v="2023"/>
      </sharedItems>
    </cacheField>
    <cacheField name="GDP_Per_Capita_USD" numFmtId="0">
      <sharedItems containsSemiMixedTypes="0" containsString="0" containsNumber="1" minValue="1150.26" maxValue="69959.429999999993"/>
    </cacheField>
    <cacheField name="Poverty_Rate_Percent" numFmtId="0">
      <sharedItems containsSemiMixedTypes="0" containsString="0" containsNumber="1" minValue="2.2000000000000002" maxValue="64.819999999999993"/>
    </cacheField>
    <cacheField name="Gini_Index" numFmtId="0">
      <sharedItems containsSemiMixedTypes="0" containsString="0" containsNumber="1" minValue="25.2" maxValue="64.930000000000007"/>
    </cacheField>
    <cacheField name="Unemployment_Rate_Percent" numFmtId="0">
      <sharedItems containsSemiMixedTypes="0" containsString="0" containsNumber="1" minValue="2.15" maxValue="27.99"/>
    </cacheField>
    <cacheField name="Literacy_Rate_Percent" numFmtId="0">
      <sharedItems containsSemiMixedTypes="0" containsString="0" containsNumber="1" minValue="55.63" maxValue="98.85"/>
    </cacheField>
    <cacheField name="Social_Spending_Percent_GDP" numFmtId="0">
      <sharedItems containsSemiMixedTypes="0" containsString="0" containsNumber="1" minValue="1.1100000000000001" maxValue="24.91"/>
    </cacheField>
    <cacheField name="Life_Expectancy_Years" numFmtId="0">
      <sharedItems containsSemiMixedTypes="0" containsString="0" containsNumber="1" minValue="52.31" maxValue="84.93"/>
    </cacheField>
    <cacheField name="Population_Millions" numFmtId="0">
      <sharedItems containsSemiMixedTypes="0" containsString="0" containsNumber="1" minValue="20.66" maxValue="1445.48"/>
    </cacheField>
    <cacheField name="Economic_Inequality_Level" numFmtId="0">
      <sharedItems/>
    </cacheField>
  </cacheFields>
  <extLst>
    <ext xmlns:x14="http://schemas.microsoft.com/office/spreadsheetml/2009/9/main" uri="{725AE2AE-9491-48be-B2B4-4EB974FC3084}">
      <x14:pivotCacheDefinition pivotCacheId="526700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x v="0"/>
    <x v="0"/>
    <n v="38632.35"/>
    <n v="13.65"/>
    <n v="63.78"/>
    <n v="22.15"/>
    <n v="96.34"/>
    <n v="22.48"/>
    <n v="71.73"/>
    <n v="1337.11"/>
    <s v="High"/>
  </r>
  <r>
    <n v="2"/>
    <x v="1"/>
    <x v="0"/>
    <n v="65135.08"/>
    <n v="52.91"/>
    <n v="50.34"/>
    <n v="24.66"/>
    <n v="90.36"/>
    <n v="5.48"/>
    <n v="81.45"/>
    <n v="784.35"/>
    <s v="High"/>
  </r>
  <r>
    <n v="3"/>
    <x v="2"/>
    <x v="0"/>
    <n v="59265.37"/>
    <n v="3.47"/>
    <n v="57.58"/>
    <n v="9.33"/>
    <n v="60.2"/>
    <n v="17.72"/>
    <n v="72.760000000000005"/>
    <n v="1272.95"/>
    <s v="High"/>
  </r>
  <r>
    <n v="4"/>
    <x v="3"/>
    <x v="0"/>
    <n v="51666.92"/>
    <n v="52.62"/>
    <n v="36.28"/>
    <n v="6.61"/>
    <n v="88.03"/>
    <n v="20.36"/>
    <n v="84.69"/>
    <n v="601.23"/>
    <s v="Moderate"/>
  </r>
  <r>
    <n v="5"/>
    <x v="4"/>
    <x v="0"/>
    <n v="65344.81"/>
    <n v="56.56"/>
    <n v="26.81"/>
    <n v="2.69"/>
    <n v="71.56"/>
    <n v="20.45"/>
    <n v="84.58"/>
    <n v="222.35"/>
    <s v="Low"/>
  </r>
  <r>
    <n v="6"/>
    <x v="5"/>
    <x v="0"/>
    <n v="10977.48"/>
    <n v="60.38"/>
    <n v="44.68"/>
    <n v="8.7100000000000009"/>
    <n v="75.2"/>
    <n v="24.52"/>
    <n v="68.260000000000005"/>
    <n v="480.05"/>
    <s v="Moderate"/>
  </r>
  <r>
    <n v="7"/>
    <x v="6"/>
    <x v="0"/>
    <n v="36208.080000000002"/>
    <n v="35.520000000000003"/>
    <n v="29.29"/>
    <n v="13.63"/>
    <n v="78.44"/>
    <n v="6.82"/>
    <n v="60.89"/>
    <n v="550.17999999999995"/>
    <s v="Low"/>
  </r>
  <r>
    <n v="8"/>
    <x v="3"/>
    <x v="0"/>
    <n v="16869.12"/>
    <n v="58.67"/>
    <n v="40.36"/>
    <n v="16.13"/>
    <n v="94.88"/>
    <n v="15.98"/>
    <n v="55.86"/>
    <n v="1363.06"/>
    <s v="Moderate"/>
  </r>
  <r>
    <n v="9"/>
    <x v="7"/>
    <x v="0"/>
    <n v="60897.98"/>
    <n v="32.71"/>
    <n v="60.78"/>
    <n v="22.8"/>
    <n v="73.709999999999994"/>
    <n v="1.54"/>
    <n v="60.87"/>
    <n v="787.66"/>
    <s v="High"/>
  </r>
  <r>
    <n v="10"/>
    <x v="8"/>
    <x v="0"/>
    <n v="38132.800000000003"/>
    <n v="51.82"/>
    <n v="37.75"/>
    <n v="18.27"/>
    <n v="93.98"/>
    <n v="15.78"/>
    <n v="59.69"/>
    <n v="40.26"/>
    <s v="Moderate"/>
  </r>
  <r>
    <n v="11"/>
    <x v="9"/>
    <x v="0"/>
    <n v="24735.11"/>
    <n v="41.12"/>
    <n v="26.83"/>
    <n v="24.66"/>
    <n v="97.83"/>
    <n v="24.25"/>
    <n v="76.739999999999995"/>
    <n v="192.97"/>
    <s v="Low"/>
  </r>
  <r>
    <n v="12"/>
    <x v="10"/>
    <x v="0"/>
    <n v="54765.69"/>
    <n v="4.5"/>
    <n v="44.22"/>
    <n v="4.7300000000000004"/>
    <n v="65.650000000000006"/>
    <n v="24.68"/>
    <n v="56.7"/>
    <n v="725.89"/>
    <s v="Moderate"/>
  </r>
  <r>
    <n v="13"/>
    <x v="11"/>
    <x v="0"/>
    <n v="12389.79"/>
    <n v="8.59"/>
    <n v="50.46"/>
    <n v="20.37"/>
    <n v="56.39"/>
    <n v="23.47"/>
    <n v="53.72"/>
    <n v="787.17"/>
    <s v="High"/>
  </r>
  <r>
    <n v="14"/>
    <x v="1"/>
    <x v="0"/>
    <n v="69594.44"/>
    <n v="43.7"/>
    <n v="47.31"/>
    <n v="21"/>
    <n v="75.47"/>
    <n v="2.44"/>
    <n v="70.56"/>
    <n v="1388.77"/>
    <s v="Moderate"/>
  </r>
  <r>
    <n v="15"/>
    <x v="1"/>
    <x v="0"/>
    <n v="46811.89"/>
    <n v="52.11"/>
    <n v="62.09"/>
    <n v="8.1"/>
    <n v="72.569999999999993"/>
    <n v="4.66"/>
    <n v="84.75"/>
    <n v="1344.52"/>
    <s v="High"/>
  </r>
  <r>
    <n v="16"/>
    <x v="5"/>
    <x v="0"/>
    <n v="24750.1"/>
    <n v="63.46"/>
    <n v="50.64"/>
    <n v="23.38"/>
    <n v="60.83"/>
    <n v="21.69"/>
    <n v="82.45"/>
    <n v="708.8"/>
    <s v="High"/>
  </r>
  <r>
    <n v="17"/>
    <x v="5"/>
    <x v="0"/>
    <n v="31214.21"/>
    <n v="8.66"/>
    <n v="50.63"/>
    <n v="7.62"/>
    <n v="82.26"/>
    <n v="16.600000000000001"/>
    <n v="57.02"/>
    <n v="93.65"/>
    <s v="High"/>
  </r>
  <r>
    <n v="18"/>
    <x v="12"/>
    <x v="0"/>
    <n v="29597.86"/>
    <n v="32.32"/>
    <n v="25.77"/>
    <n v="8.76"/>
    <n v="88.45"/>
    <n v="4.29"/>
    <n v="69.67"/>
    <n v="315.97000000000003"/>
    <s v="Low"/>
  </r>
  <r>
    <n v="19"/>
    <x v="9"/>
    <x v="0"/>
    <n v="53048.9"/>
    <n v="31.01"/>
    <n v="58.68"/>
    <n v="20.94"/>
    <n v="89.16"/>
    <n v="16.75"/>
    <n v="57.86"/>
    <n v="792.56"/>
    <s v="High"/>
  </r>
  <r>
    <n v="20"/>
    <x v="13"/>
    <x v="0"/>
    <n v="55372.160000000003"/>
    <n v="34.590000000000003"/>
    <n v="42.61"/>
    <n v="5.83"/>
    <n v="69.44"/>
    <n v="11.42"/>
    <n v="54.92"/>
    <n v="323.77999999999997"/>
    <s v="Moderate"/>
  </r>
  <r>
    <n v="21"/>
    <x v="1"/>
    <x v="0"/>
    <n v="23948.18"/>
    <n v="3.65"/>
    <n v="25.97"/>
    <n v="23.62"/>
    <n v="67.02"/>
    <n v="13.43"/>
    <n v="61.86"/>
    <n v="1364.28"/>
    <s v="Low"/>
  </r>
  <r>
    <n v="22"/>
    <x v="14"/>
    <x v="1"/>
    <n v="26718.18"/>
    <n v="61.9"/>
    <n v="54.28"/>
    <n v="17.57"/>
    <n v="61.86"/>
    <n v="4.74"/>
    <n v="53.92"/>
    <n v="1256.6199999999999"/>
    <s v="High"/>
  </r>
  <r>
    <n v="23"/>
    <x v="15"/>
    <x v="1"/>
    <n v="32360.04"/>
    <n v="51.47"/>
    <n v="32.99"/>
    <n v="15.37"/>
    <n v="81.069999999999993"/>
    <n v="2.11"/>
    <n v="72.05"/>
    <n v="251.41"/>
    <s v="Low"/>
  </r>
  <r>
    <n v="24"/>
    <x v="16"/>
    <x v="1"/>
    <n v="6923.68"/>
    <n v="14.35"/>
    <n v="26.81"/>
    <n v="10.46"/>
    <n v="72.099999999999994"/>
    <n v="7.51"/>
    <n v="79.349999999999994"/>
    <n v="520.51"/>
    <s v="Low"/>
  </r>
  <r>
    <n v="25"/>
    <x v="17"/>
    <x v="1"/>
    <n v="26250.59"/>
    <n v="41.84"/>
    <n v="50.34"/>
    <n v="15.93"/>
    <n v="58.97"/>
    <n v="21.05"/>
    <n v="62.59"/>
    <n v="274.52"/>
    <s v="High"/>
  </r>
  <r>
    <n v="26"/>
    <x v="9"/>
    <x v="1"/>
    <n v="3621.64"/>
    <n v="39.229999999999997"/>
    <n v="52.1"/>
    <n v="2.4300000000000002"/>
    <n v="77.53"/>
    <n v="6.44"/>
    <n v="73.290000000000006"/>
    <n v="256.95999999999998"/>
    <s v="High"/>
  </r>
  <r>
    <n v="27"/>
    <x v="5"/>
    <x v="1"/>
    <n v="45228.59"/>
    <n v="7.3"/>
    <n v="31.47"/>
    <n v="25.36"/>
    <n v="81.680000000000007"/>
    <n v="1.22"/>
    <n v="55.35"/>
    <n v="963.76"/>
    <s v="Low"/>
  </r>
  <r>
    <n v="28"/>
    <x v="9"/>
    <x v="1"/>
    <n v="1150.26"/>
    <n v="12.13"/>
    <n v="46.95"/>
    <n v="19.989999999999998"/>
    <n v="83.69"/>
    <n v="6.38"/>
    <n v="75.5"/>
    <n v="347.82"/>
    <s v="Moderate"/>
  </r>
  <r>
    <n v="29"/>
    <x v="18"/>
    <x v="1"/>
    <n v="65879.73"/>
    <n v="62.1"/>
    <n v="61.59"/>
    <n v="11.62"/>
    <n v="55.68"/>
    <n v="23.28"/>
    <n v="66.13"/>
    <n v="1401.82"/>
    <s v="High"/>
  </r>
  <r>
    <n v="30"/>
    <x v="7"/>
    <x v="1"/>
    <n v="38806.49"/>
    <n v="47.02"/>
    <n v="51.41"/>
    <n v="9.2799999999999994"/>
    <n v="97.01"/>
    <n v="18.71"/>
    <n v="70.290000000000006"/>
    <n v="888.94"/>
    <s v="High"/>
  </r>
  <r>
    <n v="31"/>
    <x v="1"/>
    <x v="1"/>
    <n v="7936.17"/>
    <n v="58.86"/>
    <n v="45.21"/>
    <n v="23.49"/>
    <n v="69.08"/>
    <n v="22.49"/>
    <n v="64.84"/>
    <n v="20.66"/>
    <s v="Moderate"/>
  </r>
  <r>
    <n v="32"/>
    <x v="19"/>
    <x v="1"/>
    <n v="43574.47"/>
    <n v="24.56"/>
    <n v="29.54"/>
    <n v="19.46"/>
    <n v="77.89"/>
    <n v="19.54"/>
    <n v="69.17"/>
    <n v="1236.4000000000001"/>
    <s v="Low"/>
  </r>
  <r>
    <n v="33"/>
    <x v="20"/>
    <x v="1"/>
    <n v="44631.34"/>
    <n v="17.13"/>
    <n v="28.03"/>
    <n v="5.35"/>
    <n v="60.63"/>
    <n v="4.6500000000000004"/>
    <n v="56.58"/>
    <n v="931.06"/>
    <s v="Low"/>
  </r>
  <r>
    <n v="34"/>
    <x v="21"/>
    <x v="1"/>
    <n v="20437.29"/>
    <n v="24.87"/>
    <n v="50.84"/>
    <n v="16.84"/>
    <n v="70.67"/>
    <n v="24.68"/>
    <n v="71.989999999999995"/>
    <n v="347.79"/>
    <s v="High"/>
  </r>
  <r>
    <n v="35"/>
    <x v="16"/>
    <x v="1"/>
    <n v="14752.61"/>
    <n v="12.31"/>
    <n v="31.57"/>
    <n v="23.18"/>
    <n v="84.27"/>
    <n v="13.55"/>
    <n v="63.84"/>
    <n v="1272.55"/>
    <s v="Low"/>
  </r>
  <r>
    <n v="36"/>
    <x v="4"/>
    <x v="1"/>
    <n v="11295.9"/>
    <n v="21.64"/>
    <n v="34.94"/>
    <n v="21.34"/>
    <n v="56.48"/>
    <n v="14.68"/>
    <n v="77.16"/>
    <n v="1271.93"/>
    <s v="Low"/>
  </r>
  <r>
    <n v="37"/>
    <x v="6"/>
    <x v="1"/>
    <n v="28532.799999999999"/>
    <n v="37.26"/>
    <n v="31.21"/>
    <n v="6.73"/>
    <n v="92.92"/>
    <n v="23.71"/>
    <n v="64.319999999999993"/>
    <n v="396.23"/>
    <s v="Low"/>
  </r>
  <r>
    <n v="38"/>
    <x v="16"/>
    <x v="1"/>
    <n v="43991.1"/>
    <n v="27.79"/>
    <n v="47.08"/>
    <n v="13.34"/>
    <n v="67.959999999999994"/>
    <n v="23.76"/>
    <n v="77.2"/>
    <n v="207.46"/>
    <s v="Moderate"/>
  </r>
  <r>
    <n v="39"/>
    <x v="3"/>
    <x v="1"/>
    <n v="44636.69"/>
    <n v="18.25"/>
    <n v="30.57"/>
    <n v="23.71"/>
    <n v="98.31"/>
    <n v="13.62"/>
    <n v="57.67"/>
    <n v="398.48"/>
    <s v="Low"/>
  </r>
  <r>
    <n v="40"/>
    <x v="17"/>
    <x v="1"/>
    <n v="18077.03"/>
    <n v="32.83"/>
    <n v="33.85"/>
    <n v="27.68"/>
    <n v="96.54"/>
    <n v="1.95"/>
    <n v="75.28"/>
    <n v="1341.98"/>
    <s v="Low"/>
  </r>
  <r>
    <n v="41"/>
    <x v="20"/>
    <x v="1"/>
    <n v="61010.84"/>
    <n v="3.34"/>
    <n v="59.99"/>
    <n v="15.75"/>
    <n v="96.32"/>
    <n v="20.170000000000002"/>
    <n v="84.93"/>
    <n v="511.78"/>
    <s v="High"/>
  </r>
  <r>
    <n v="42"/>
    <x v="5"/>
    <x v="1"/>
    <n v="26590.05"/>
    <n v="18.36"/>
    <n v="53.94"/>
    <n v="14.89"/>
    <n v="58.57"/>
    <n v="6.28"/>
    <n v="74.55"/>
    <n v="115.01"/>
    <s v="High"/>
  </r>
  <r>
    <n v="43"/>
    <x v="16"/>
    <x v="1"/>
    <n v="19278.36"/>
    <n v="57.35"/>
    <n v="56.9"/>
    <n v="19.12"/>
    <n v="92.43"/>
    <n v="21.82"/>
    <n v="75.38"/>
    <n v="1214.48"/>
    <s v="High"/>
  </r>
  <r>
    <n v="44"/>
    <x v="21"/>
    <x v="1"/>
    <n v="49866.99"/>
    <n v="56.87"/>
    <n v="53.56"/>
    <n v="22.84"/>
    <n v="69.94"/>
    <n v="20.56"/>
    <n v="54.64"/>
    <n v="1298.01"/>
    <s v="High"/>
  </r>
  <r>
    <n v="45"/>
    <x v="11"/>
    <x v="1"/>
    <n v="38693.39"/>
    <n v="53.49"/>
    <n v="43.09"/>
    <n v="18.73"/>
    <n v="78.16"/>
    <n v="18.559999999999999"/>
    <n v="54.69"/>
    <n v="92.21"/>
    <s v="Moderate"/>
  </r>
  <r>
    <n v="46"/>
    <x v="19"/>
    <x v="1"/>
    <n v="17899.54"/>
    <n v="12.05"/>
    <n v="59.87"/>
    <n v="7.7"/>
    <n v="97.94"/>
    <n v="9.09"/>
    <n v="58.01"/>
    <n v="1146.1099999999999"/>
    <s v="High"/>
  </r>
  <r>
    <n v="47"/>
    <x v="9"/>
    <x v="1"/>
    <n v="14608.34"/>
    <n v="44.85"/>
    <n v="27.89"/>
    <n v="2.8"/>
    <n v="66.34"/>
    <n v="12.1"/>
    <n v="80.650000000000006"/>
    <n v="1055.76"/>
    <s v="Low"/>
  </r>
  <r>
    <n v="48"/>
    <x v="2"/>
    <x v="1"/>
    <n v="67917.91"/>
    <n v="7.92"/>
    <n v="51.9"/>
    <n v="13.54"/>
    <n v="93.2"/>
    <n v="5.25"/>
    <n v="74.86"/>
    <n v="1216.08"/>
    <s v="High"/>
  </r>
  <r>
    <n v="49"/>
    <x v="17"/>
    <x v="1"/>
    <n v="69959.429999999993"/>
    <n v="5.04"/>
    <n v="64.09"/>
    <n v="12.58"/>
    <n v="93.31"/>
    <n v="19.78"/>
    <n v="70.709999999999994"/>
    <n v="1072.06"/>
    <s v="High"/>
  </r>
  <r>
    <n v="50"/>
    <x v="22"/>
    <x v="1"/>
    <n v="67434.539999999994"/>
    <n v="32.46"/>
    <n v="57.24"/>
    <n v="16.309999999999999"/>
    <n v="56.91"/>
    <n v="16.2"/>
    <n v="83.4"/>
    <n v="874.33"/>
    <s v="High"/>
  </r>
  <r>
    <n v="51"/>
    <x v="17"/>
    <x v="1"/>
    <n v="25256.76"/>
    <n v="16.920000000000002"/>
    <n v="56.22"/>
    <n v="9.14"/>
    <n v="91.2"/>
    <n v="11.17"/>
    <n v="74.03"/>
    <n v="143.05000000000001"/>
    <s v="High"/>
  </r>
  <r>
    <n v="52"/>
    <x v="17"/>
    <x v="1"/>
    <n v="42752.7"/>
    <n v="50.18"/>
    <n v="31.99"/>
    <n v="15.07"/>
    <n v="72.540000000000006"/>
    <n v="4.51"/>
    <n v="64.13"/>
    <n v="103.51"/>
    <s v="Low"/>
  </r>
  <r>
    <n v="53"/>
    <x v="20"/>
    <x v="1"/>
    <n v="26811.47"/>
    <n v="26.85"/>
    <n v="43.38"/>
    <n v="22.41"/>
    <n v="94.25"/>
    <n v="23.93"/>
    <n v="77.97"/>
    <n v="460.76"/>
    <s v="Moderate"/>
  </r>
  <r>
    <n v="54"/>
    <x v="7"/>
    <x v="1"/>
    <n v="62175.199999999997"/>
    <n v="42.69"/>
    <n v="36.44"/>
    <n v="23.21"/>
    <n v="92.9"/>
    <n v="21.32"/>
    <n v="82.32"/>
    <n v="369.49"/>
    <s v="Moderate"/>
  </r>
  <r>
    <n v="55"/>
    <x v="1"/>
    <x v="1"/>
    <n v="69746.34"/>
    <n v="25.2"/>
    <n v="42.94"/>
    <n v="20.77"/>
    <n v="93.99"/>
    <n v="15.23"/>
    <n v="64.92"/>
    <n v="601.24"/>
    <s v="Moderate"/>
  </r>
  <r>
    <n v="56"/>
    <x v="2"/>
    <x v="2"/>
    <n v="56674.86"/>
    <n v="58.45"/>
    <n v="37.72"/>
    <n v="4.8600000000000003"/>
    <n v="65.03"/>
    <n v="11.25"/>
    <n v="78.989999999999995"/>
    <n v="1248.76"/>
    <s v="Moderate"/>
  </r>
  <r>
    <n v="57"/>
    <x v="19"/>
    <x v="2"/>
    <n v="29836.32"/>
    <n v="17.61"/>
    <n v="39.24"/>
    <n v="21.7"/>
    <n v="55.63"/>
    <n v="3.79"/>
    <n v="53.52"/>
    <n v="63.85"/>
    <s v="Moderate"/>
  </r>
  <r>
    <n v="58"/>
    <x v="3"/>
    <x v="2"/>
    <n v="41189"/>
    <n v="6.9"/>
    <n v="63.98"/>
    <n v="27.64"/>
    <n v="85.72"/>
    <n v="13.87"/>
    <n v="62.21"/>
    <n v="1180.93"/>
    <s v="High"/>
  </r>
  <r>
    <n v="59"/>
    <x v="17"/>
    <x v="2"/>
    <n v="41913.85"/>
    <n v="26"/>
    <n v="63.8"/>
    <n v="23.9"/>
    <n v="91.89"/>
    <n v="12.25"/>
    <n v="65.69"/>
    <n v="400.07"/>
    <s v="High"/>
  </r>
  <r>
    <n v="60"/>
    <x v="14"/>
    <x v="2"/>
    <n v="4701.18"/>
    <n v="56.48"/>
    <n v="57.52"/>
    <n v="27.99"/>
    <n v="98.85"/>
    <n v="14.33"/>
    <n v="77.38"/>
    <n v="1370.19"/>
    <s v="High"/>
  </r>
  <r>
    <n v="61"/>
    <x v="0"/>
    <x v="2"/>
    <n v="43583.23"/>
    <n v="25.24"/>
    <n v="43.5"/>
    <n v="21.43"/>
    <n v="56.61"/>
    <n v="7.06"/>
    <n v="75.540000000000006"/>
    <n v="1298.57"/>
    <s v="Moderate"/>
  </r>
  <r>
    <n v="62"/>
    <x v="21"/>
    <x v="2"/>
    <n v="55410.65"/>
    <n v="33.4"/>
    <n v="28.48"/>
    <n v="15.96"/>
    <n v="80.819999999999993"/>
    <n v="18.89"/>
    <n v="66.239999999999995"/>
    <n v="189.35"/>
    <s v="Low"/>
  </r>
  <r>
    <n v="63"/>
    <x v="2"/>
    <x v="2"/>
    <n v="20773.23"/>
    <n v="38.619999999999997"/>
    <n v="31.17"/>
    <n v="14.51"/>
    <n v="78.430000000000007"/>
    <n v="2.2400000000000002"/>
    <n v="63.11"/>
    <n v="199.23"/>
    <s v="Low"/>
  </r>
  <r>
    <n v="64"/>
    <x v="2"/>
    <x v="2"/>
    <n v="13366.56"/>
    <n v="59.23"/>
    <n v="48.34"/>
    <n v="12.42"/>
    <n v="75.33"/>
    <n v="23.73"/>
    <n v="57.06"/>
    <n v="852.1"/>
    <s v="Moderate"/>
  </r>
  <r>
    <n v="65"/>
    <x v="5"/>
    <x v="2"/>
    <n v="49740.91"/>
    <n v="11.61"/>
    <n v="48.05"/>
    <n v="17.77"/>
    <n v="73.66"/>
    <n v="18.670000000000002"/>
    <n v="82.83"/>
    <n v="1342.45"/>
    <s v="Moderate"/>
  </r>
  <r>
    <n v="66"/>
    <x v="10"/>
    <x v="2"/>
    <n v="7893.67"/>
    <n v="61.05"/>
    <n v="52.52"/>
    <n v="3.76"/>
    <n v="68.239999999999995"/>
    <n v="18"/>
    <n v="54.22"/>
    <n v="846.24"/>
    <s v="High"/>
  </r>
  <r>
    <n v="67"/>
    <x v="9"/>
    <x v="2"/>
    <n v="3522.57"/>
    <n v="9.69"/>
    <n v="43.09"/>
    <n v="26.28"/>
    <n v="68.91"/>
    <n v="13.17"/>
    <n v="53.37"/>
    <n v="219.36"/>
    <s v="Moderate"/>
  </r>
  <r>
    <n v="68"/>
    <x v="2"/>
    <x v="2"/>
    <n v="54916.34"/>
    <n v="46.65"/>
    <n v="26.45"/>
    <n v="9.8800000000000008"/>
    <n v="66.58"/>
    <n v="9.64"/>
    <n v="54.89"/>
    <n v="1358.9"/>
    <s v="Low"/>
  </r>
  <r>
    <n v="69"/>
    <x v="7"/>
    <x v="2"/>
    <n v="2586.1799999999998"/>
    <n v="10.52"/>
    <n v="63.52"/>
    <n v="16.29"/>
    <n v="97.5"/>
    <n v="11.38"/>
    <n v="62.29"/>
    <n v="736.37"/>
    <s v="High"/>
  </r>
  <r>
    <n v="70"/>
    <x v="5"/>
    <x v="2"/>
    <n v="10643.66"/>
    <n v="9.65"/>
    <n v="37.130000000000003"/>
    <n v="4.63"/>
    <n v="85.46"/>
    <n v="2.5"/>
    <n v="68.81"/>
    <n v="1445.23"/>
    <s v="Moderate"/>
  </r>
  <r>
    <n v="71"/>
    <x v="0"/>
    <x v="2"/>
    <n v="57126.74"/>
    <n v="40.76"/>
    <n v="37.25"/>
    <n v="18.22"/>
    <n v="78.19"/>
    <n v="11.23"/>
    <n v="56.31"/>
    <n v="1286.1400000000001"/>
    <s v="Moderate"/>
  </r>
  <r>
    <n v="72"/>
    <x v="8"/>
    <x v="2"/>
    <n v="36245.760000000002"/>
    <n v="44.85"/>
    <n v="26.67"/>
    <n v="4.2"/>
    <n v="86.52"/>
    <n v="2.73"/>
    <n v="54.35"/>
    <n v="22.5"/>
    <s v="Low"/>
  </r>
  <r>
    <n v="73"/>
    <x v="3"/>
    <x v="2"/>
    <n v="66989.899999999994"/>
    <n v="48.46"/>
    <n v="39.130000000000003"/>
    <n v="9.7100000000000009"/>
    <n v="70.39"/>
    <n v="19.59"/>
    <n v="73.83"/>
    <n v="272.61"/>
    <s v="Moderate"/>
  </r>
  <r>
    <n v="74"/>
    <x v="16"/>
    <x v="2"/>
    <n v="21244.78"/>
    <n v="50.46"/>
    <n v="49.99"/>
    <n v="11.93"/>
    <n v="64.05"/>
    <n v="3.91"/>
    <n v="72.3"/>
    <n v="1124.3499999999999"/>
    <s v="Moderate"/>
  </r>
  <r>
    <n v="75"/>
    <x v="1"/>
    <x v="2"/>
    <n v="26553.96"/>
    <n v="29.22"/>
    <n v="42.58"/>
    <n v="17.940000000000001"/>
    <n v="96.5"/>
    <n v="6.78"/>
    <n v="56.01"/>
    <n v="290.33999999999997"/>
    <s v="Moderate"/>
  </r>
  <r>
    <n v="76"/>
    <x v="3"/>
    <x v="3"/>
    <n v="21853.56"/>
    <n v="35.06"/>
    <n v="42.28"/>
    <n v="9.57"/>
    <n v="81.92"/>
    <n v="4.3499999999999996"/>
    <n v="61.64"/>
    <n v="534.39"/>
    <s v="Moderate"/>
  </r>
  <r>
    <n v="77"/>
    <x v="18"/>
    <x v="3"/>
    <n v="20240.669999999998"/>
    <n v="36.19"/>
    <n v="30.64"/>
    <n v="22.86"/>
    <n v="58.28"/>
    <n v="24.69"/>
    <n v="77.48"/>
    <n v="292.14"/>
    <s v="Low"/>
  </r>
  <r>
    <n v="78"/>
    <x v="0"/>
    <x v="3"/>
    <n v="36973.11"/>
    <n v="28.94"/>
    <n v="26.02"/>
    <n v="4.8099999999999996"/>
    <n v="56.38"/>
    <n v="16.27"/>
    <n v="62.37"/>
    <n v="739.88"/>
    <s v="Low"/>
  </r>
  <r>
    <n v="79"/>
    <x v="15"/>
    <x v="3"/>
    <n v="20510.96"/>
    <n v="4.32"/>
    <n v="49.38"/>
    <n v="15.07"/>
    <n v="57.27"/>
    <n v="7.69"/>
    <n v="81.97"/>
    <n v="351.17"/>
    <s v="Moderate"/>
  </r>
  <r>
    <n v="80"/>
    <x v="10"/>
    <x v="3"/>
    <n v="67482.5"/>
    <n v="55.74"/>
    <n v="36.78"/>
    <n v="12.01"/>
    <n v="92.45"/>
    <n v="8.61"/>
    <n v="57.59"/>
    <n v="809.58"/>
    <s v="Moderate"/>
  </r>
  <r>
    <n v="81"/>
    <x v="4"/>
    <x v="3"/>
    <n v="61514.22"/>
    <n v="48.67"/>
    <n v="52.88"/>
    <n v="20.260000000000002"/>
    <n v="70.819999999999993"/>
    <n v="8.0500000000000007"/>
    <n v="78.709999999999994"/>
    <n v="1175.6099999999999"/>
    <s v="High"/>
  </r>
  <r>
    <n v="82"/>
    <x v="12"/>
    <x v="3"/>
    <n v="51045.52"/>
    <n v="63.48"/>
    <n v="45.65"/>
    <n v="10.4"/>
    <n v="89.99"/>
    <n v="7.5"/>
    <n v="66.489999999999995"/>
    <n v="118.37"/>
    <s v="Moderate"/>
  </r>
  <r>
    <n v="83"/>
    <x v="5"/>
    <x v="3"/>
    <n v="59997.87"/>
    <n v="46.33"/>
    <n v="43.97"/>
    <n v="4.54"/>
    <n v="76.63"/>
    <n v="12.36"/>
    <n v="57.72"/>
    <n v="631.91999999999996"/>
    <s v="Moderate"/>
  </r>
  <r>
    <n v="84"/>
    <x v="15"/>
    <x v="3"/>
    <n v="26837.16"/>
    <n v="7.26"/>
    <n v="56.09"/>
    <n v="16.52"/>
    <n v="73.67"/>
    <n v="22.75"/>
    <n v="55.67"/>
    <n v="716.84"/>
    <s v="High"/>
  </r>
  <r>
    <n v="85"/>
    <x v="19"/>
    <x v="3"/>
    <n v="57341.39"/>
    <n v="18.25"/>
    <n v="31.84"/>
    <n v="19.38"/>
    <n v="95.89"/>
    <n v="14.36"/>
    <n v="70.86"/>
    <n v="409.57"/>
    <s v="Low"/>
  </r>
  <r>
    <n v="86"/>
    <x v="2"/>
    <x v="3"/>
    <n v="10547.31"/>
    <n v="13.11"/>
    <n v="44.93"/>
    <n v="12.89"/>
    <n v="95.25"/>
    <n v="9.6999999999999993"/>
    <n v="71.16"/>
    <n v="918.62"/>
    <s v="Moderate"/>
  </r>
  <r>
    <n v="87"/>
    <x v="3"/>
    <x v="3"/>
    <n v="45364.77"/>
    <n v="27.75"/>
    <n v="26.02"/>
    <n v="6.06"/>
    <n v="86.5"/>
    <n v="16.809999999999999"/>
    <n v="52.89"/>
    <n v="325.75"/>
    <s v="Low"/>
  </r>
  <r>
    <n v="88"/>
    <x v="5"/>
    <x v="3"/>
    <n v="21085.82"/>
    <n v="58.47"/>
    <n v="25.52"/>
    <n v="4.22"/>
    <n v="64.150000000000006"/>
    <n v="1.64"/>
    <n v="57.99"/>
    <n v="847.5"/>
    <s v="Low"/>
  </r>
  <r>
    <n v="89"/>
    <x v="23"/>
    <x v="3"/>
    <n v="29962.58"/>
    <n v="58.24"/>
    <n v="57.7"/>
    <n v="10.89"/>
    <n v="66.41"/>
    <n v="10.11"/>
    <n v="71.48"/>
    <n v="392.35"/>
    <s v="High"/>
  </r>
  <r>
    <n v="90"/>
    <x v="0"/>
    <x v="3"/>
    <n v="13611.2"/>
    <n v="36.14"/>
    <n v="59.92"/>
    <n v="21.04"/>
    <n v="90.49"/>
    <n v="16.809999999999999"/>
    <n v="74.849999999999994"/>
    <n v="1232.0899999999999"/>
    <s v="High"/>
  </r>
  <r>
    <n v="91"/>
    <x v="17"/>
    <x v="3"/>
    <n v="3712.85"/>
    <n v="3.13"/>
    <n v="64.510000000000005"/>
    <n v="13.12"/>
    <n v="71.91"/>
    <n v="17.309999999999999"/>
    <n v="59.2"/>
    <n v="1377.69"/>
    <s v="High"/>
  </r>
  <r>
    <n v="92"/>
    <x v="18"/>
    <x v="3"/>
    <n v="55215.07"/>
    <n v="7.63"/>
    <n v="41.7"/>
    <n v="24.86"/>
    <n v="96.57"/>
    <n v="12.22"/>
    <n v="72.239999999999995"/>
    <n v="246.36"/>
    <s v="Moderate"/>
  </r>
  <r>
    <n v="93"/>
    <x v="6"/>
    <x v="3"/>
    <n v="16288.18"/>
    <n v="35.83"/>
    <n v="48.72"/>
    <n v="17.079999999999998"/>
    <n v="59.03"/>
    <n v="22.06"/>
    <n v="60.76"/>
    <n v="192.15"/>
    <s v="Moderate"/>
  </r>
  <r>
    <n v="94"/>
    <x v="2"/>
    <x v="3"/>
    <n v="49065.03"/>
    <n v="44.85"/>
    <n v="49.74"/>
    <n v="21.57"/>
    <n v="61.98"/>
    <n v="22.14"/>
    <n v="80.77"/>
    <n v="47.26"/>
    <s v="Moderate"/>
  </r>
  <r>
    <n v="95"/>
    <x v="15"/>
    <x v="3"/>
    <n v="15546.85"/>
    <n v="3.96"/>
    <n v="51.07"/>
    <n v="11.58"/>
    <n v="93.03"/>
    <n v="12.36"/>
    <n v="83.95"/>
    <n v="273.08"/>
    <s v="High"/>
  </r>
  <r>
    <n v="96"/>
    <x v="22"/>
    <x v="3"/>
    <n v="60908.72"/>
    <n v="50.93"/>
    <n v="55.84"/>
    <n v="23.96"/>
    <n v="88.49"/>
    <n v="16.03"/>
    <n v="56.33"/>
    <n v="52"/>
    <s v="High"/>
  </r>
  <r>
    <n v="97"/>
    <x v="20"/>
    <x v="3"/>
    <n v="46382.58"/>
    <n v="33.39"/>
    <n v="47.21"/>
    <n v="20.7"/>
    <n v="65.05"/>
    <n v="24.91"/>
    <n v="84.17"/>
    <n v="944.72"/>
    <s v="Moderate"/>
  </r>
  <r>
    <n v="98"/>
    <x v="23"/>
    <x v="3"/>
    <n v="52195.29"/>
    <n v="28.81"/>
    <n v="38.840000000000003"/>
    <n v="11.65"/>
    <n v="98.46"/>
    <n v="1.96"/>
    <n v="80.61"/>
    <n v="841.19"/>
    <s v="Moderate"/>
  </r>
  <r>
    <n v="99"/>
    <x v="5"/>
    <x v="3"/>
    <n v="61593.279999999999"/>
    <n v="27.46"/>
    <n v="38.08"/>
    <n v="19.36"/>
    <n v="90.55"/>
    <n v="19.29"/>
    <n v="78.33"/>
    <n v="634.41999999999996"/>
    <s v="Moderate"/>
  </r>
  <r>
    <n v="100"/>
    <x v="4"/>
    <x v="3"/>
    <n v="43668.73"/>
    <n v="31.2"/>
    <n v="40.19"/>
    <n v="24.45"/>
    <n v="77.84"/>
    <n v="12.5"/>
    <n v="52.85"/>
    <n v="498.1"/>
    <s v="Moderate"/>
  </r>
  <r>
    <n v="101"/>
    <x v="12"/>
    <x v="3"/>
    <n v="1638.76"/>
    <n v="17.2"/>
    <n v="64.03"/>
    <n v="22.84"/>
    <n v="97.22"/>
    <n v="12.71"/>
    <n v="55.62"/>
    <n v="796.8"/>
    <s v="High"/>
  </r>
  <r>
    <n v="102"/>
    <x v="20"/>
    <x v="3"/>
    <n v="32242.91"/>
    <n v="55.19"/>
    <n v="28.92"/>
    <n v="14.69"/>
    <n v="61.6"/>
    <n v="8.7899999999999991"/>
    <n v="76.33"/>
    <n v="692.85"/>
    <s v="Low"/>
  </r>
  <r>
    <n v="103"/>
    <x v="0"/>
    <x v="3"/>
    <n v="41103.65"/>
    <n v="49.13"/>
    <n v="57.47"/>
    <n v="19.07"/>
    <n v="60.64"/>
    <n v="9.1199999999999992"/>
    <n v="82.63"/>
    <n v="329.57"/>
    <s v="High"/>
  </r>
  <r>
    <n v="104"/>
    <x v="24"/>
    <x v="3"/>
    <n v="68939.149999999994"/>
    <n v="61.06"/>
    <n v="26.73"/>
    <n v="6.29"/>
    <n v="60.8"/>
    <n v="18.420000000000002"/>
    <n v="78.989999999999995"/>
    <n v="313.52"/>
    <s v="Low"/>
  </r>
  <r>
    <n v="105"/>
    <x v="3"/>
    <x v="3"/>
    <n v="51071.15"/>
    <n v="64.48"/>
    <n v="28.97"/>
    <n v="12.44"/>
    <n v="90.2"/>
    <n v="5.9"/>
    <n v="70.319999999999993"/>
    <n v="1064.29"/>
    <s v="Low"/>
  </r>
  <r>
    <n v="106"/>
    <x v="16"/>
    <x v="3"/>
    <n v="43426.19"/>
    <n v="13.85"/>
    <n v="39.22"/>
    <n v="22.38"/>
    <n v="79.39"/>
    <n v="1.1299999999999999"/>
    <n v="77.11"/>
    <n v="56.02"/>
    <s v="Moderate"/>
  </r>
  <r>
    <n v="107"/>
    <x v="16"/>
    <x v="4"/>
    <n v="42397.16"/>
    <n v="46.61"/>
    <n v="25.82"/>
    <n v="27.22"/>
    <n v="91.63"/>
    <n v="6.1"/>
    <n v="58"/>
    <n v="270.02"/>
    <s v="Low"/>
  </r>
  <r>
    <n v="108"/>
    <x v="13"/>
    <x v="4"/>
    <n v="36700.31"/>
    <n v="46.29"/>
    <n v="39.549999999999997"/>
    <n v="27.27"/>
    <n v="97.35"/>
    <n v="7.04"/>
    <n v="68.41"/>
    <n v="439.77"/>
    <s v="Moderate"/>
  </r>
  <r>
    <n v="109"/>
    <x v="19"/>
    <x v="4"/>
    <n v="18649.560000000001"/>
    <n v="43.58"/>
    <n v="57.69"/>
    <n v="16.440000000000001"/>
    <n v="78.3"/>
    <n v="6.8"/>
    <n v="55.07"/>
    <n v="1301.48"/>
    <s v="High"/>
  </r>
  <r>
    <n v="110"/>
    <x v="5"/>
    <x v="4"/>
    <n v="23317.66"/>
    <n v="49.03"/>
    <n v="50.99"/>
    <n v="24.08"/>
    <n v="83.93"/>
    <n v="14.64"/>
    <n v="55.09"/>
    <n v="536.35"/>
    <s v="High"/>
  </r>
  <r>
    <n v="111"/>
    <x v="2"/>
    <x v="4"/>
    <n v="65581.91"/>
    <n v="45.85"/>
    <n v="47.8"/>
    <n v="4.53"/>
    <n v="82.06"/>
    <n v="24.76"/>
    <n v="56.62"/>
    <n v="753.99"/>
    <s v="Moderate"/>
  </r>
  <r>
    <n v="112"/>
    <x v="20"/>
    <x v="4"/>
    <n v="2554.27"/>
    <n v="62.65"/>
    <n v="58.44"/>
    <n v="20.100000000000001"/>
    <n v="72.989999999999995"/>
    <n v="5.16"/>
    <n v="57.16"/>
    <n v="366.6"/>
    <s v="High"/>
  </r>
  <r>
    <n v="113"/>
    <x v="9"/>
    <x v="4"/>
    <n v="46381.599999999999"/>
    <n v="12.26"/>
    <n v="27.82"/>
    <n v="18.7"/>
    <n v="56.17"/>
    <n v="15.06"/>
    <n v="83.03"/>
    <n v="836.56"/>
    <s v="Low"/>
  </r>
  <r>
    <n v="114"/>
    <x v="15"/>
    <x v="4"/>
    <n v="6670.77"/>
    <n v="64.16"/>
    <n v="39.97"/>
    <n v="11.64"/>
    <n v="90.76"/>
    <n v="23.73"/>
    <n v="84.54"/>
    <n v="1093.6300000000001"/>
    <s v="Moderate"/>
  </r>
  <r>
    <n v="115"/>
    <x v="5"/>
    <x v="4"/>
    <n v="67382.34"/>
    <n v="25.62"/>
    <n v="36.43"/>
    <n v="24.58"/>
    <n v="64.84"/>
    <n v="24.12"/>
    <n v="52.4"/>
    <n v="1406.47"/>
    <s v="Moderate"/>
  </r>
  <r>
    <n v="116"/>
    <x v="21"/>
    <x v="4"/>
    <n v="63367.78"/>
    <n v="23.94"/>
    <n v="45.56"/>
    <n v="22.37"/>
    <n v="72.45"/>
    <n v="15.93"/>
    <n v="80.459999999999994"/>
    <n v="1377.06"/>
    <s v="Moderate"/>
  </r>
  <r>
    <n v="117"/>
    <x v="2"/>
    <x v="4"/>
    <n v="12490.31"/>
    <n v="19.55"/>
    <n v="32.08"/>
    <n v="4.3099999999999996"/>
    <n v="60.31"/>
    <n v="12.06"/>
    <n v="58.81"/>
    <n v="531.37"/>
    <s v="Low"/>
  </r>
  <r>
    <n v="118"/>
    <x v="17"/>
    <x v="4"/>
    <n v="5026.59"/>
    <n v="19.440000000000001"/>
    <n v="57.25"/>
    <n v="21.45"/>
    <n v="63.12"/>
    <n v="6.02"/>
    <n v="64.23"/>
    <n v="705.14"/>
    <s v="High"/>
  </r>
  <r>
    <n v="119"/>
    <x v="8"/>
    <x v="4"/>
    <n v="2188.9299999999998"/>
    <n v="22.29"/>
    <n v="33.46"/>
    <n v="10.51"/>
    <n v="60.27"/>
    <n v="22.37"/>
    <n v="71.59"/>
    <n v="986.3"/>
    <s v="Low"/>
  </r>
  <r>
    <n v="120"/>
    <x v="14"/>
    <x v="4"/>
    <n v="7843.35"/>
    <n v="11.63"/>
    <n v="34.840000000000003"/>
    <n v="6.18"/>
    <n v="63.21"/>
    <n v="7.84"/>
    <n v="57.72"/>
    <n v="1300.83"/>
    <s v="Low"/>
  </r>
  <r>
    <n v="121"/>
    <x v="12"/>
    <x v="4"/>
    <n v="27957.200000000001"/>
    <n v="53.45"/>
    <n v="42.57"/>
    <n v="11.8"/>
    <n v="75.36"/>
    <n v="8.23"/>
    <n v="76.67"/>
    <n v="731.43"/>
    <s v="Moderate"/>
  </r>
  <r>
    <n v="122"/>
    <x v="7"/>
    <x v="4"/>
    <n v="1706.14"/>
    <n v="43.8"/>
    <n v="32.119999999999997"/>
    <n v="26.99"/>
    <n v="61.54"/>
    <n v="10.95"/>
    <n v="54.82"/>
    <n v="1445.48"/>
    <s v="Low"/>
  </r>
  <r>
    <n v="123"/>
    <x v="3"/>
    <x v="4"/>
    <n v="12935.69"/>
    <n v="59.61"/>
    <n v="41.75"/>
    <n v="11.96"/>
    <n v="77.83"/>
    <n v="2.13"/>
    <n v="57.49"/>
    <n v="1071.46"/>
    <s v="Moderate"/>
  </r>
  <r>
    <n v="124"/>
    <x v="11"/>
    <x v="4"/>
    <n v="69647.62"/>
    <n v="12.96"/>
    <n v="40.85"/>
    <n v="21.71"/>
    <n v="85.62"/>
    <n v="4.6900000000000004"/>
    <n v="78.92"/>
    <n v="329.32"/>
    <s v="Moderate"/>
  </r>
  <r>
    <n v="125"/>
    <x v="9"/>
    <x v="4"/>
    <n v="53271.81"/>
    <n v="3.55"/>
    <n v="25.88"/>
    <n v="10.41"/>
    <n v="76.5"/>
    <n v="19.489999999999998"/>
    <n v="74.55"/>
    <n v="649.33000000000004"/>
    <s v="Low"/>
  </r>
  <r>
    <n v="126"/>
    <x v="6"/>
    <x v="4"/>
    <n v="19734.97"/>
    <n v="64.819999999999993"/>
    <n v="42.05"/>
    <n v="13.74"/>
    <n v="62.2"/>
    <n v="20.079999999999998"/>
    <n v="74.89"/>
    <n v="324.01"/>
    <s v="Moderate"/>
  </r>
  <r>
    <n v="127"/>
    <x v="13"/>
    <x v="4"/>
    <n v="12547.25"/>
    <n v="34.75"/>
    <n v="38.479999999999997"/>
    <n v="23.55"/>
    <n v="73.959999999999994"/>
    <n v="6.97"/>
    <n v="72.37"/>
    <n v="1026.29"/>
    <s v="Moderate"/>
  </r>
  <r>
    <n v="128"/>
    <x v="3"/>
    <x v="4"/>
    <n v="41306.519999999997"/>
    <n v="56.7"/>
    <n v="33.229999999999997"/>
    <n v="4.91"/>
    <n v="66.87"/>
    <n v="2.37"/>
    <n v="69.53"/>
    <n v="1358.4"/>
    <s v="Low"/>
  </r>
  <r>
    <n v="129"/>
    <x v="20"/>
    <x v="4"/>
    <n v="69074.8"/>
    <n v="62.8"/>
    <n v="25.2"/>
    <n v="26.75"/>
    <n v="83.12"/>
    <n v="21.83"/>
    <n v="67.010000000000005"/>
    <n v="750.04"/>
    <s v="Low"/>
  </r>
  <r>
    <n v="130"/>
    <x v="21"/>
    <x v="4"/>
    <n v="57394.13"/>
    <n v="9.57"/>
    <n v="46.78"/>
    <n v="2.15"/>
    <n v="69.28"/>
    <n v="9.8000000000000007"/>
    <n v="65.069999999999993"/>
    <n v="1009.95"/>
    <s v="Moderate"/>
  </r>
  <r>
    <n v="131"/>
    <x v="12"/>
    <x v="4"/>
    <n v="27109.54"/>
    <n v="27.13"/>
    <n v="48.21"/>
    <n v="15.87"/>
    <n v="81.75"/>
    <n v="19.36"/>
    <n v="78.83"/>
    <n v="1042.69"/>
    <s v="Moderate"/>
  </r>
  <r>
    <n v="132"/>
    <x v="5"/>
    <x v="4"/>
    <n v="4970.5"/>
    <n v="60.87"/>
    <n v="39.06"/>
    <n v="4.6399999999999997"/>
    <n v="76.38"/>
    <n v="7.16"/>
    <n v="61.4"/>
    <n v="449.03"/>
    <s v="Moderate"/>
  </r>
  <r>
    <n v="133"/>
    <x v="15"/>
    <x v="4"/>
    <n v="57487.87"/>
    <n v="57.71"/>
    <n v="34.119999999999997"/>
    <n v="7.51"/>
    <n v="81.88"/>
    <n v="10.86"/>
    <n v="79.72"/>
    <n v="1305.53"/>
    <s v="Low"/>
  </r>
  <r>
    <n v="134"/>
    <x v="15"/>
    <x v="4"/>
    <n v="2435.79"/>
    <n v="42.44"/>
    <n v="49.28"/>
    <n v="16.21"/>
    <n v="65.209999999999994"/>
    <n v="10.38"/>
    <n v="71.62"/>
    <n v="722.83"/>
    <s v="Moderate"/>
  </r>
  <r>
    <n v="135"/>
    <x v="18"/>
    <x v="4"/>
    <n v="14077.22"/>
    <n v="22.37"/>
    <n v="34.07"/>
    <n v="11.23"/>
    <n v="58.05"/>
    <n v="13.46"/>
    <n v="54.23"/>
    <n v="1161.52"/>
    <s v="Low"/>
  </r>
  <r>
    <n v="136"/>
    <x v="14"/>
    <x v="4"/>
    <n v="39123.120000000003"/>
    <n v="21.25"/>
    <n v="40.880000000000003"/>
    <n v="13.63"/>
    <n v="81.430000000000007"/>
    <n v="13.38"/>
    <n v="82.34"/>
    <n v="723.11"/>
    <s v="Moderate"/>
  </r>
  <r>
    <n v="137"/>
    <x v="10"/>
    <x v="4"/>
    <n v="31925.1"/>
    <n v="14.26"/>
    <n v="39.71"/>
    <n v="12.77"/>
    <n v="91.41"/>
    <n v="18.61"/>
    <n v="77.39"/>
    <n v="20.94"/>
    <s v="Moderate"/>
  </r>
  <r>
    <n v="138"/>
    <x v="12"/>
    <x v="4"/>
    <n v="48470.86"/>
    <n v="57.02"/>
    <n v="50.45"/>
    <n v="21.79"/>
    <n v="62.04"/>
    <n v="12.08"/>
    <n v="52.31"/>
    <n v="361.45"/>
    <s v="High"/>
  </r>
  <r>
    <n v="139"/>
    <x v="2"/>
    <x v="4"/>
    <n v="48936.78"/>
    <n v="2.2000000000000002"/>
    <n v="49.78"/>
    <n v="11.24"/>
    <n v="89.94"/>
    <n v="3.23"/>
    <n v="71.41"/>
    <n v="700.01"/>
    <s v="Moderate"/>
  </r>
  <r>
    <n v="140"/>
    <x v="17"/>
    <x v="4"/>
    <n v="42197.19"/>
    <n v="48.35"/>
    <n v="64.930000000000007"/>
    <n v="26.26"/>
    <n v="83.27"/>
    <n v="11.11"/>
    <n v="72.989999999999995"/>
    <n v="1140.27"/>
    <s v="High"/>
  </r>
  <r>
    <n v="141"/>
    <x v="2"/>
    <x v="5"/>
    <n v="10826.73"/>
    <n v="32.840000000000003"/>
    <n v="64.430000000000007"/>
    <n v="8.2899999999999991"/>
    <n v="84.57"/>
    <n v="19.28"/>
    <n v="59.84"/>
    <n v="1057.27"/>
    <s v="High"/>
  </r>
  <r>
    <n v="142"/>
    <x v="12"/>
    <x v="5"/>
    <n v="48612.89"/>
    <n v="26.36"/>
    <n v="62.47"/>
    <n v="5.58"/>
    <n v="70.010000000000005"/>
    <n v="3.72"/>
    <n v="82.51"/>
    <n v="1272.76"/>
    <s v="High"/>
  </r>
  <r>
    <n v="143"/>
    <x v="14"/>
    <x v="5"/>
    <n v="20628.650000000001"/>
    <n v="39.22"/>
    <n v="26.22"/>
    <n v="2.97"/>
    <n v="91.19"/>
    <n v="9.64"/>
    <n v="56.19"/>
    <n v="759.64"/>
    <s v="Low"/>
  </r>
  <r>
    <n v="144"/>
    <x v="11"/>
    <x v="5"/>
    <n v="54083.55"/>
    <n v="15.6"/>
    <n v="49.92"/>
    <n v="4.22"/>
    <n v="57.27"/>
    <n v="13.75"/>
    <n v="69.84"/>
    <n v="926.09"/>
    <s v="Moderate"/>
  </r>
  <r>
    <n v="145"/>
    <x v="3"/>
    <x v="5"/>
    <n v="14348.75"/>
    <n v="6.37"/>
    <n v="29.03"/>
    <n v="2.4700000000000002"/>
    <n v="59.16"/>
    <n v="17.39"/>
    <n v="54.35"/>
    <n v="465.92"/>
    <s v="Low"/>
  </r>
  <r>
    <n v="146"/>
    <x v="7"/>
    <x v="5"/>
    <n v="21090.19"/>
    <n v="22.71"/>
    <n v="51.9"/>
    <n v="21.56"/>
    <n v="89.83"/>
    <n v="19.95"/>
    <n v="55.01"/>
    <n v="719.44"/>
    <s v="High"/>
  </r>
  <r>
    <n v="147"/>
    <x v="9"/>
    <x v="5"/>
    <n v="66568.47"/>
    <n v="58.09"/>
    <n v="43.23"/>
    <n v="18.12"/>
    <n v="67.2"/>
    <n v="5.51"/>
    <n v="67.3"/>
    <n v="515.59"/>
    <s v="Moderate"/>
  </r>
  <r>
    <n v="148"/>
    <x v="2"/>
    <x v="5"/>
    <n v="35636.480000000003"/>
    <n v="45.49"/>
    <n v="26.57"/>
    <n v="22.78"/>
    <n v="82.63"/>
    <n v="2.96"/>
    <n v="80.83"/>
    <n v="1335.66"/>
    <s v="Low"/>
  </r>
  <r>
    <n v="149"/>
    <x v="15"/>
    <x v="5"/>
    <n v="54048.91"/>
    <n v="13.78"/>
    <n v="37.950000000000003"/>
    <n v="13.06"/>
    <n v="77.33"/>
    <n v="6.82"/>
    <n v="55.79"/>
    <n v="887.35"/>
    <s v="Moderate"/>
  </r>
  <r>
    <n v="150"/>
    <x v="9"/>
    <x v="5"/>
    <n v="35551.89"/>
    <n v="39.51"/>
    <n v="27.68"/>
    <n v="21.5"/>
    <n v="64.239999999999995"/>
    <n v="22.55"/>
    <n v="58.77"/>
    <n v="280.54000000000002"/>
    <s v="Low"/>
  </r>
  <r>
    <n v="151"/>
    <x v="4"/>
    <x v="5"/>
    <n v="16790.38"/>
    <n v="44.33"/>
    <n v="25.79"/>
    <n v="4.71"/>
    <n v="90.2"/>
    <n v="5.29"/>
    <n v="73.540000000000006"/>
    <n v="349.17"/>
    <s v="Low"/>
  </r>
  <r>
    <n v="152"/>
    <x v="10"/>
    <x v="5"/>
    <n v="2072.63"/>
    <n v="59.6"/>
    <n v="29.71"/>
    <n v="16.989999999999998"/>
    <n v="67.06"/>
    <n v="14.3"/>
    <n v="73.5"/>
    <n v="1203.98"/>
    <s v="Low"/>
  </r>
  <r>
    <n v="153"/>
    <x v="8"/>
    <x v="5"/>
    <n v="29957.9"/>
    <n v="48.47"/>
    <n v="34.549999999999997"/>
    <n v="4.87"/>
    <n v="70.599999999999994"/>
    <n v="7.89"/>
    <n v="61.78"/>
    <n v="342.56"/>
    <s v="Low"/>
  </r>
  <r>
    <n v="154"/>
    <x v="10"/>
    <x v="5"/>
    <n v="1604.14"/>
    <n v="6.56"/>
    <n v="40.700000000000003"/>
    <n v="14.48"/>
    <n v="81.400000000000006"/>
    <n v="8"/>
    <n v="74.930000000000007"/>
    <n v="1247.8800000000001"/>
    <s v="Moderate"/>
  </r>
  <r>
    <n v="155"/>
    <x v="18"/>
    <x v="5"/>
    <n v="12359.3"/>
    <n v="12.56"/>
    <n v="26.47"/>
    <n v="21.15"/>
    <n v="84.21"/>
    <n v="12.39"/>
    <n v="79.86"/>
    <n v="1169.19"/>
    <s v="Low"/>
  </r>
  <r>
    <n v="156"/>
    <x v="6"/>
    <x v="5"/>
    <n v="34628.18"/>
    <n v="44.01"/>
    <n v="30.59"/>
    <n v="2.78"/>
    <n v="68.55"/>
    <n v="17.91"/>
    <n v="58.66"/>
    <n v="978.11"/>
    <s v="Low"/>
  </r>
  <r>
    <n v="157"/>
    <x v="15"/>
    <x v="5"/>
    <n v="27688.22"/>
    <n v="30.27"/>
    <n v="34.5"/>
    <n v="11.7"/>
    <n v="65"/>
    <n v="2.76"/>
    <n v="71.91"/>
    <n v="970.57"/>
    <s v="Low"/>
  </r>
  <r>
    <n v="158"/>
    <x v="18"/>
    <x v="5"/>
    <n v="9684.8799999999992"/>
    <n v="8.56"/>
    <n v="53.97"/>
    <n v="17.04"/>
    <n v="67.06"/>
    <n v="2.91"/>
    <n v="54.83"/>
    <n v="1297.1099999999999"/>
    <s v="High"/>
  </r>
  <r>
    <n v="159"/>
    <x v="16"/>
    <x v="5"/>
    <n v="38165.03"/>
    <n v="55.05"/>
    <n v="45.84"/>
    <n v="18.21"/>
    <n v="58.92"/>
    <n v="19.13"/>
    <n v="56.21"/>
    <n v="1198.67"/>
    <s v="Moderate"/>
  </r>
  <r>
    <n v="160"/>
    <x v="8"/>
    <x v="5"/>
    <n v="45358.17"/>
    <n v="35.409999999999997"/>
    <n v="26.68"/>
    <n v="27.18"/>
    <n v="90.14"/>
    <n v="8.0299999999999994"/>
    <n v="84.34"/>
    <n v="874.72"/>
    <s v="Low"/>
  </r>
  <r>
    <n v="161"/>
    <x v="9"/>
    <x v="5"/>
    <n v="52404.78"/>
    <n v="14.76"/>
    <n v="63.32"/>
    <n v="11.57"/>
    <n v="69.38"/>
    <n v="4.57"/>
    <n v="62.08"/>
    <n v="1271.76"/>
    <s v="High"/>
  </r>
  <r>
    <n v="162"/>
    <x v="0"/>
    <x v="5"/>
    <n v="10036.81"/>
    <n v="7.08"/>
    <n v="54.12"/>
    <n v="14.91"/>
    <n v="74.22"/>
    <n v="18.510000000000002"/>
    <n v="77.260000000000005"/>
    <n v="234.62"/>
    <s v="High"/>
  </r>
  <r>
    <n v="163"/>
    <x v="8"/>
    <x v="5"/>
    <n v="43027.58"/>
    <n v="10.53"/>
    <n v="55.06"/>
    <n v="19.079999999999998"/>
    <n v="97.09"/>
    <n v="2.65"/>
    <n v="53.88"/>
    <n v="412.76"/>
    <s v="High"/>
  </r>
  <r>
    <n v="164"/>
    <x v="7"/>
    <x v="6"/>
    <n v="1281.0899999999999"/>
    <n v="34.18"/>
    <n v="41.7"/>
    <n v="7.77"/>
    <n v="60.27"/>
    <n v="9.1"/>
    <n v="83.12"/>
    <n v="472.03"/>
    <s v="Moderate"/>
  </r>
  <r>
    <n v="165"/>
    <x v="17"/>
    <x v="6"/>
    <n v="60801.4"/>
    <n v="59.53"/>
    <n v="45.45"/>
    <n v="15.04"/>
    <n v="90.12"/>
    <n v="16.600000000000001"/>
    <n v="75.16"/>
    <n v="1154.92"/>
    <s v="Moderate"/>
  </r>
  <r>
    <n v="166"/>
    <x v="13"/>
    <x v="6"/>
    <n v="26543.65"/>
    <n v="50.91"/>
    <n v="38.630000000000003"/>
    <n v="26.2"/>
    <n v="92.77"/>
    <n v="11.3"/>
    <n v="76.78"/>
    <n v="1095.31"/>
    <s v="Moderate"/>
  </r>
  <r>
    <n v="167"/>
    <x v="20"/>
    <x v="6"/>
    <n v="59595.6"/>
    <n v="17.579999999999998"/>
    <n v="43.02"/>
    <n v="5.36"/>
    <n v="96.98"/>
    <n v="15.55"/>
    <n v="59.55"/>
    <n v="975.61"/>
    <s v="Moderate"/>
  </r>
  <r>
    <n v="168"/>
    <x v="9"/>
    <x v="6"/>
    <n v="38991.949999999997"/>
    <n v="37.340000000000003"/>
    <n v="60.07"/>
    <n v="12.49"/>
    <n v="60.9"/>
    <n v="1.69"/>
    <n v="76.92"/>
    <n v="901.35"/>
    <s v="High"/>
  </r>
  <r>
    <n v="169"/>
    <x v="19"/>
    <x v="6"/>
    <n v="41716.26"/>
    <n v="27.14"/>
    <n v="27.19"/>
    <n v="10.72"/>
    <n v="90.33"/>
    <n v="1.1100000000000001"/>
    <n v="63.01"/>
    <n v="580.35"/>
    <s v="Low"/>
  </r>
  <r>
    <n v="170"/>
    <x v="20"/>
    <x v="6"/>
    <n v="13295.81"/>
    <n v="37.78"/>
    <n v="61.62"/>
    <n v="2.88"/>
    <n v="85.69"/>
    <n v="8.14"/>
    <n v="82.51"/>
    <n v="1408.18"/>
    <s v="High"/>
  </r>
  <r>
    <n v="171"/>
    <x v="12"/>
    <x v="6"/>
    <n v="66143.240000000005"/>
    <n v="31.88"/>
    <n v="59.48"/>
    <n v="23.96"/>
    <n v="69.040000000000006"/>
    <n v="20.89"/>
    <n v="53.22"/>
    <n v="866.61"/>
    <s v="High"/>
  </r>
  <r>
    <n v="172"/>
    <x v="10"/>
    <x v="6"/>
    <n v="53889.43"/>
    <n v="27.32"/>
    <n v="44.2"/>
    <n v="18.32"/>
    <n v="93.44"/>
    <n v="24.62"/>
    <n v="77.349999999999994"/>
    <n v="608.66999999999996"/>
    <s v="Moderate"/>
  </r>
  <r>
    <n v="173"/>
    <x v="15"/>
    <x v="6"/>
    <n v="16057.65"/>
    <n v="13.75"/>
    <n v="56.18"/>
    <n v="11.1"/>
    <n v="57.55"/>
    <n v="24.26"/>
    <n v="81.16"/>
    <n v="1345.6"/>
    <s v="High"/>
  </r>
  <r>
    <n v="174"/>
    <x v="11"/>
    <x v="6"/>
    <n v="57946.52"/>
    <n v="10.119999999999999"/>
    <n v="38.4"/>
    <n v="21.33"/>
    <n v="62.07"/>
    <n v="20.63"/>
    <n v="79.459999999999994"/>
    <n v="738.29"/>
    <s v="Moderate"/>
  </r>
  <r>
    <n v="175"/>
    <x v="18"/>
    <x v="6"/>
    <n v="54765.3"/>
    <n v="8.74"/>
    <n v="55.44"/>
    <n v="16.07"/>
    <n v="97.37"/>
    <n v="9.1999999999999993"/>
    <n v="72.88"/>
    <n v="1351.78"/>
    <s v="High"/>
  </r>
  <r>
    <n v="176"/>
    <x v="4"/>
    <x v="6"/>
    <n v="13234.07"/>
    <n v="16.97"/>
    <n v="63.86"/>
    <n v="6.71"/>
    <n v="92.59"/>
    <n v="12.81"/>
    <n v="60.16"/>
    <n v="1263.23"/>
    <s v="High"/>
  </r>
  <r>
    <n v="177"/>
    <x v="4"/>
    <x v="6"/>
    <n v="12930.96"/>
    <n v="45.47"/>
    <n v="33.04"/>
    <n v="15.93"/>
    <n v="59.25"/>
    <n v="11.81"/>
    <n v="76.95"/>
    <n v="507.24"/>
    <s v="Low"/>
  </r>
  <r>
    <n v="178"/>
    <x v="5"/>
    <x v="6"/>
    <n v="60869.52"/>
    <n v="52.77"/>
    <n v="56.6"/>
    <n v="9.92"/>
    <n v="58.56"/>
    <n v="10.67"/>
    <n v="57.73"/>
    <n v="1009.2"/>
    <s v="High"/>
  </r>
  <r>
    <n v="179"/>
    <x v="11"/>
    <x v="6"/>
    <n v="12848.37"/>
    <n v="8.1999999999999993"/>
    <n v="51.41"/>
    <n v="21.87"/>
    <n v="66.66"/>
    <n v="1.5"/>
    <n v="54.71"/>
    <n v="1403.56"/>
    <s v="High"/>
  </r>
  <r>
    <n v="180"/>
    <x v="10"/>
    <x v="7"/>
    <n v="63108.93"/>
    <n v="41.89"/>
    <n v="38.56"/>
    <n v="11.08"/>
    <n v="86.94"/>
    <n v="22.53"/>
    <n v="81.27"/>
    <n v="1131.92"/>
    <s v="Moderate"/>
  </r>
  <r>
    <n v="181"/>
    <x v="1"/>
    <x v="7"/>
    <n v="62388.37"/>
    <n v="23.29"/>
    <n v="40.020000000000003"/>
    <n v="4.4400000000000004"/>
    <n v="80.44"/>
    <n v="1.86"/>
    <n v="67.36"/>
    <n v="789.12"/>
    <s v="Moderate"/>
  </r>
  <r>
    <n v="182"/>
    <x v="11"/>
    <x v="7"/>
    <n v="28376.53"/>
    <n v="40.799999999999997"/>
    <n v="50.4"/>
    <n v="3.18"/>
    <n v="71.48"/>
    <n v="16.02"/>
    <n v="68.599999999999994"/>
    <n v="1242.6300000000001"/>
    <s v="High"/>
  </r>
  <r>
    <n v="183"/>
    <x v="18"/>
    <x v="7"/>
    <n v="4783.07"/>
    <n v="36.619999999999997"/>
    <n v="42.66"/>
    <n v="25.08"/>
    <n v="70.44"/>
    <n v="3.81"/>
    <n v="56.72"/>
    <n v="1105.3800000000001"/>
    <s v="Moderate"/>
  </r>
  <r>
    <n v="184"/>
    <x v="9"/>
    <x v="7"/>
    <n v="43580.69"/>
    <n v="8.3699999999999992"/>
    <n v="28.36"/>
    <n v="20.23"/>
    <n v="58.2"/>
    <n v="20.72"/>
    <n v="75.31"/>
    <n v="122.55"/>
    <s v="Low"/>
  </r>
  <r>
    <n v="185"/>
    <x v="21"/>
    <x v="7"/>
    <n v="48183.4"/>
    <n v="12.24"/>
    <n v="61.44"/>
    <n v="23.39"/>
    <n v="96.79"/>
    <n v="18.420000000000002"/>
    <n v="72.239999999999995"/>
    <n v="609.36"/>
    <s v="High"/>
  </r>
  <r>
    <n v="186"/>
    <x v="19"/>
    <x v="7"/>
    <n v="49522.32"/>
    <n v="15.42"/>
    <n v="30.45"/>
    <n v="2.38"/>
    <n v="70.430000000000007"/>
    <n v="15.16"/>
    <n v="64.94"/>
    <n v="637.15"/>
    <s v="Low"/>
  </r>
  <r>
    <n v="187"/>
    <x v="13"/>
    <x v="7"/>
    <n v="65733.16"/>
    <n v="13.42"/>
    <n v="27.66"/>
    <n v="21.27"/>
    <n v="80.28"/>
    <n v="21.2"/>
    <n v="56.61"/>
    <n v="1154.1600000000001"/>
    <s v="Low"/>
  </r>
  <r>
    <n v="188"/>
    <x v="8"/>
    <x v="7"/>
    <n v="24472.06"/>
    <n v="53.74"/>
    <n v="29.43"/>
    <n v="24.01"/>
    <n v="60.61"/>
    <n v="10.53"/>
    <n v="78.31"/>
    <n v="221.63"/>
    <s v="Low"/>
  </r>
  <r>
    <n v="189"/>
    <x v="15"/>
    <x v="7"/>
    <n v="35807.5"/>
    <n v="40.520000000000003"/>
    <n v="25.72"/>
    <n v="24.68"/>
    <n v="96.01"/>
    <n v="14.56"/>
    <n v="74.989999999999995"/>
    <n v="1338.01"/>
    <s v="Low"/>
  </r>
  <r>
    <n v="190"/>
    <x v="20"/>
    <x v="7"/>
    <n v="6529.67"/>
    <n v="40"/>
    <n v="34.81"/>
    <n v="12.12"/>
    <n v="67.7"/>
    <n v="9.5399999999999991"/>
    <n v="75.73"/>
    <n v="434.34"/>
    <s v="Low"/>
  </r>
  <r>
    <n v="191"/>
    <x v="23"/>
    <x v="7"/>
    <n v="51190.66"/>
    <n v="33.22"/>
    <n v="52.54"/>
    <n v="13.31"/>
    <n v="65.84"/>
    <n v="20.66"/>
    <n v="78.38"/>
    <n v="1008.84"/>
    <s v="High"/>
  </r>
  <r>
    <n v="192"/>
    <x v="3"/>
    <x v="7"/>
    <n v="19632.439999999999"/>
    <n v="39.18"/>
    <n v="39.44"/>
    <n v="4.38"/>
    <n v="95.36"/>
    <n v="4.28"/>
    <n v="83.36"/>
    <n v="649.48"/>
    <s v="Moderate"/>
  </r>
  <r>
    <n v="193"/>
    <x v="0"/>
    <x v="7"/>
    <n v="16716.61"/>
    <n v="9.6"/>
    <n v="28.08"/>
    <n v="20.100000000000001"/>
    <n v="69.95"/>
    <n v="18.39"/>
    <n v="54.16"/>
    <n v="460.59"/>
    <s v="Low"/>
  </r>
  <r>
    <n v="194"/>
    <x v="5"/>
    <x v="7"/>
    <n v="69388.87"/>
    <n v="16.600000000000001"/>
    <n v="62.71"/>
    <n v="18.89"/>
    <n v="81.739999999999995"/>
    <n v="13.3"/>
    <n v="59.61"/>
    <n v="260.08"/>
    <s v="High"/>
  </r>
  <r>
    <n v="195"/>
    <x v="4"/>
    <x v="7"/>
    <n v="62301.37"/>
    <n v="62.21"/>
    <n v="59.49"/>
    <n v="23.05"/>
    <n v="83.83"/>
    <n v="14.22"/>
    <n v="54.87"/>
    <n v="595.21"/>
    <s v="High"/>
  </r>
  <r>
    <n v="196"/>
    <x v="24"/>
    <x v="7"/>
    <n v="1241.9000000000001"/>
    <n v="20.079999999999998"/>
    <n v="49.68"/>
    <n v="27.51"/>
    <n v="82.8"/>
    <n v="7.24"/>
    <n v="72.92"/>
    <n v="785.28"/>
    <s v="Moderate"/>
  </r>
  <r>
    <n v="197"/>
    <x v="20"/>
    <x v="7"/>
    <n v="29845.13"/>
    <n v="42.23"/>
    <n v="40.9"/>
    <n v="9.1300000000000008"/>
    <n v="98.3"/>
    <n v="10.82"/>
    <n v="81.510000000000005"/>
    <n v="337.28"/>
    <s v="Moderate"/>
  </r>
  <r>
    <n v="198"/>
    <x v="23"/>
    <x v="7"/>
    <n v="43576.38"/>
    <n v="46.26"/>
    <n v="47.39"/>
    <n v="2.25"/>
    <n v="69.36"/>
    <n v="13.43"/>
    <n v="54.9"/>
    <n v="511.66"/>
    <s v="Moderate"/>
  </r>
  <r>
    <n v="199"/>
    <x v="16"/>
    <x v="7"/>
    <n v="66167.3"/>
    <n v="45.04"/>
    <n v="44.89"/>
    <n v="18.059999999999999"/>
    <n v="93.23"/>
    <n v="14.69"/>
    <n v="53"/>
    <n v="1350.22"/>
    <s v="Moderate"/>
  </r>
  <r>
    <n v="200"/>
    <x v="11"/>
    <x v="7"/>
    <n v="66922.240000000005"/>
    <n v="3.15"/>
    <n v="32.83"/>
    <n v="2.2000000000000002"/>
    <n v="83.49"/>
    <n v="22.55"/>
    <n v="60.03"/>
    <n v="1344.56"/>
    <s v="Low"/>
  </r>
  <r>
    <n v="201"/>
    <x v="21"/>
    <x v="7"/>
    <n v="16972.88"/>
    <n v="36.020000000000003"/>
    <n v="60.2"/>
    <n v="18.920000000000002"/>
    <n v="78.45"/>
    <n v="8.7799999999999994"/>
    <n v="62.99"/>
    <n v="972.41"/>
    <s v="High"/>
  </r>
  <r>
    <n v="202"/>
    <x v="11"/>
    <x v="7"/>
    <n v="69457.33"/>
    <n v="55.64"/>
    <n v="33.340000000000003"/>
    <n v="26.2"/>
    <n v="60.12"/>
    <n v="20.62"/>
    <n v="64.56"/>
    <n v="1273.67"/>
    <s v="Low"/>
  </r>
  <r>
    <n v="203"/>
    <x v="18"/>
    <x v="7"/>
    <n v="35805.01"/>
    <n v="54.96"/>
    <n v="54.31"/>
    <n v="16.100000000000001"/>
    <n v="80.98"/>
    <n v="13.2"/>
    <n v="61.82"/>
    <n v="821.46"/>
    <s v="High"/>
  </r>
  <r>
    <n v="204"/>
    <x v="20"/>
    <x v="8"/>
    <n v="5301.57"/>
    <n v="61.78"/>
    <n v="63.63"/>
    <n v="23.02"/>
    <n v="68.400000000000006"/>
    <n v="3.34"/>
    <n v="74.58"/>
    <n v="641.02"/>
    <s v="High"/>
  </r>
  <r>
    <n v="205"/>
    <x v="16"/>
    <x v="8"/>
    <n v="60526.76"/>
    <n v="41.27"/>
    <n v="38.24"/>
    <n v="3.65"/>
    <n v="68.680000000000007"/>
    <n v="8.8000000000000007"/>
    <n v="76.08"/>
    <n v="926.27"/>
    <s v="Moderate"/>
  </r>
  <r>
    <n v="206"/>
    <x v="18"/>
    <x v="8"/>
    <n v="62195.12"/>
    <n v="31.75"/>
    <n v="29.78"/>
    <n v="20.54"/>
    <n v="88.47"/>
    <n v="14.47"/>
    <n v="77.44"/>
    <n v="718.53"/>
    <s v="Low"/>
  </r>
  <r>
    <n v="207"/>
    <x v="14"/>
    <x v="8"/>
    <n v="27661.360000000001"/>
    <n v="42.53"/>
    <n v="43.33"/>
    <n v="16.190000000000001"/>
    <n v="96.42"/>
    <n v="10.27"/>
    <n v="83.72"/>
    <n v="1313.23"/>
    <s v="Moderate"/>
  </r>
  <r>
    <n v="208"/>
    <x v="8"/>
    <x v="8"/>
    <n v="1585.67"/>
    <n v="31.53"/>
    <n v="27.25"/>
    <n v="5.09"/>
    <n v="60.17"/>
    <n v="16.579999999999998"/>
    <n v="76.62"/>
    <n v="847.97"/>
    <s v="Low"/>
  </r>
  <r>
    <n v="209"/>
    <x v="20"/>
    <x v="8"/>
    <n v="13386.1"/>
    <n v="23.78"/>
    <n v="60.87"/>
    <n v="14.32"/>
    <n v="84.37"/>
    <n v="5.14"/>
    <n v="58.35"/>
    <n v="64.06"/>
    <s v="High"/>
  </r>
  <r>
    <n v="210"/>
    <x v="14"/>
    <x v="8"/>
    <n v="6352.18"/>
    <n v="35.04"/>
    <n v="41.42"/>
    <n v="27.54"/>
    <n v="59.93"/>
    <n v="10.55"/>
    <n v="83.99"/>
    <n v="1255.6600000000001"/>
    <s v="Moderate"/>
  </r>
  <r>
    <n v="211"/>
    <x v="5"/>
    <x v="8"/>
    <n v="5185.55"/>
    <n v="64.37"/>
    <n v="37.89"/>
    <n v="23.06"/>
    <n v="66.2"/>
    <n v="17.36"/>
    <n v="77.09"/>
    <n v="865.7"/>
    <s v="Moderate"/>
  </r>
  <r>
    <n v="212"/>
    <x v="4"/>
    <x v="8"/>
    <n v="16664.2"/>
    <n v="47.5"/>
    <n v="53.8"/>
    <n v="18.670000000000002"/>
    <n v="85.53"/>
    <n v="14.03"/>
    <n v="60.31"/>
    <n v="504.53"/>
    <s v="High"/>
  </r>
  <r>
    <n v="213"/>
    <x v="1"/>
    <x v="8"/>
    <n v="31998.080000000002"/>
    <n v="9.1300000000000008"/>
    <n v="64.39"/>
    <n v="23.81"/>
    <n v="60.49"/>
    <n v="23.1"/>
    <n v="80.709999999999994"/>
    <n v="754.72"/>
    <s v="High"/>
  </r>
  <r>
    <n v="214"/>
    <x v="18"/>
    <x v="8"/>
    <n v="37987.78"/>
    <n v="59.95"/>
    <n v="38.85"/>
    <n v="11.02"/>
    <n v="87.45"/>
    <n v="11.85"/>
    <n v="59.41"/>
    <n v="658.78"/>
    <s v="Moderate"/>
  </r>
  <r>
    <n v="215"/>
    <x v="6"/>
    <x v="8"/>
    <n v="3329.24"/>
    <n v="31.74"/>
    <n v="47.59"/>
    <n v="3.71"/>
    <n v="89.12"/>
    <n v="11.88"/>
    <n v="69.3"/>
    <n v="641.9"/>
    <s v="Moderate"/>
  </r>
  <r>
    <n v="216"/>
    <x v="4"/>
    <x v="8"/>
    <n v="15084.35"/>
    <n v="2.69"/>
    <n v="30.48"/>
    <n v="25.4"/>
    <n v="93.45"/>
    <n v="15.34"/>
    <n v="71.819999999999993"/>
    <n v="965.98"/>
    <s v="Low"/>
  </r>
  <r>
    <n v="217"/>
    <x v="18"/>
    <x v="8"/>
    <n v="39995.199999999997"/>
    <n v="31.99"/>
    <n v="51.55"/>
    <n v="26.36"/>
    <n v="87.23"/>
    <n v="6.16"/>
    <n v="53.03"/>
    <n v="383.97"/>
    <s v="High"/>
  </r>
  <r>
    <n v="218"/>
    <x v="10"/>
    <x v="8"/>
    <n v="59703.519999999997"/>
    <n v="33.19"/>
    <n v="44.22"/>
    <n v="17.399999999999999"/>
    <n v="91.29"/>
    <n v="9.35"/>
    <n v="74.37"/>
    <n v="822.48"/>
    <s v="Moderate"/>
  </r>
  <r>
    <n v="219"/>
    <x v="0"/>
    <x v="8"/>
    <n v="6500.77"/>
    <n v="44.87"/>
    <n v="51.18"/>
    <n v="9.1"/>
    <n v="96.84"/>
    <n v="4.63"/>
    <n v="66.27"/>
    <n v="1368.53"/>
    <s v="High"/>
  </r>
  <r>
    <n v="220"/>
    <x v="8"/>
    <x v="8"/>
    <n v="14676.31"/>
    <n v="32.97"/>
    <n v="27.57"/>
    <n v="17.13"/>
    <n v="66.84"/>
    <n v="20.14"/>
    <n v="62.24"/>
    <n v="662.79"/>
    <s v="Low"/>
  </r>
  <r>
    <n v="221"/>
    <x v="21"/>
    <x v="8"/>
    <n v="3097.66"/>
    <n v="6.95"/>
    <n v="40.880000000000003"/>
    <n v="5.45"/>
    <n v="79.97"/>
    <n v="17.55"/>
    <n v="78.42"/>
    <n v="294.22000000000003"/>
    <s v="Moderate"/>
  </r>
  <r>
    <n v="222"/>
    <x v="23"/>
    <x v="8"/>
    <n v="46246.18"/>
    <n v="22.49"/>
    <n v="55.94"/>
    <n v="5.4"/>
    <n v="97.67"/>
    <n v="11.89"/>
    <n v="59.79"/>
    <n v="111.2"/>
    <s v="High"/>
  </r>
  <r>
    <n v="223"/>
    <x v="19"/>
    <x v="8"/>
    <n v="56369.39"/>
    <n v="35.97"/>
    <n v="37.450000000000003"/>
    <n v="17.87"/>
    <n v="86.51"/>
    <n v="7.54"/>
    <n v="65.650000000000006"/>
    <n v="181.13"/>
    <s v="Moderate"/>
  </r>
  <r>
    <n v="224"/>
    <x v="16"/>
    <x v="8"/>
    <n v="13335.53"/>
    <n v="44.91"/>
    <n v="32.26"/>
    <n v="15.65"/>
    <n v="86.2"/>
    <n v="3.57"/>
    <n v="70.72"/>
    <n v="375.73"/>
    <s v="Low"/>
  </r>
  <r>
    <n v="225"/>
    <x v="8"/>
    <x v="8"/>
    <n v="43971.07"/>
    <n v="30.46"/>
    <n v="48.46"/>
    <n v="6.37"/>
    <n v="87.42"/>
    <n v="21.71"/>
    <n v="59.15"/>
    <n v="143.31"/>
    <s v="Moderate"/>
  </r>
  <r>
    <n v="226"/>
    <x v="12"/>
    <x v="8"/>
    <n v="48418.92"/>
    <n v="29.57"/>
    <n v="35.19"/>
    <n v="23.86"/>
    <n v="56.69"/>
    <n v="22.64"/>
    <n v="67.23"/>
    <n v="925.76"/>
    <s v="Moderate"/>
  </r>
  <r>
    <n v="227"/>
    <x v="12"/>
    <x v="8"/>
    <n v="45248.93"/>
    <n v="6.09"/>
    <n v="48.2"/>
    <n v="16.600000000000001"/>
    <n v="79.67"/>
    <n v="15.48"/>
    <n v="74.319999999999993"/>
    <n v="1168.21"/>
    <s v="Moderate"/>
  </r>
  <r>
    <n v="228"/>
    <x v="9"/>
    <x v="8"/>
    <n v="19471.59"/>
    <n v="53.98"/>
    <n v="44.93"/>
    <n v="4"/>
    <n v="57.58"/>
    <n v="9.02"/>
    <n v="77.900000000000006"/>
    <n v="1027.5999999999999"/>
    <s v="Moderate"/>
  </r>
  <r>
    <n v="229"/>
    <x v="4"/>
    <x v="9"/>
    <n v="9245.0499999999993"/>
    <n v="33.200000000000003"/>
    <n v="26.38"/>
    <n v="25.64"/>
    <n v="66.39"/>
    <n v="16.899999999999999"/>
    <n v="62.29"/>
    <n v="756.5"/>
    <s v="Low"/>
  </r>
  <r>
    <n v="230"/>
    <x v="21"/>
    <x v="9"/>
    <n v="1182.1300000000001"/>
    <n v="53.37"/>
    <n v="53.27"/>
    <n v="20.95"/>
    <n v="88.94"/>
    <n v="2.78"/>
    <n v="63.83"/>
    <n v="172.43"/>
    <s v="High"/>
  </r>
  <r>
    <n v="231"/>
    <x v="6"/>
    <x v="9"/>
    <n v="63603.6"/>
    <n v="17.71"/>
    <n v="41.42"/>
    <n v="21.64"/>
    <n v="65.069999999999993"/>
    <n v="2.85"/>
    <n v="61.56"/>
    <n v="237.96"/>
    <s v="Moderate"/>
  </r>
  <r>
    <n v="232"/>
    <x v="14"/>
    <x v="9"/>
    <n v="19152"/>
    <n v="17.37"/>
    <n v="63.92"/>
    <n v="12.22"/>
    <n v="94.25"/>
    <n v="16.149999999999999"/>
    <n v="78.23"/>
    <n v="731.31"/>
    <s v="High"/>
  </r>
  <r>
    <n v="233"/>
    <x v="12"/>
    <x v="9"/>
    <n v="40721.75"/>
    <n v="33.03"/>
    <n v="32.81"/>
    <n v="20.78"/>
    <n v="67.349999999999994"/>
    <n v="1.58"/>
    <n v="73.3"/>
    <n v="260.92"/>
    <s v="Low"/>
  </r>
  <r>
    <n v="234"/>
    <x v="18"/>
    <x v="9"/>
    <n v="63452.43"/>
    <n v="7.75"/>
    <n v="37.770000000000003"/>
    <n v="26.7"/>
    <n v="96.83"/>
    <n v="14.76"/>
    <n v="72.849999999999994"/>
    <n v="653"/>
    <s v="Moderate"/>
  </r>
  <r>
    <n v="235"/>
    <x v="8"/>
    <x v="9"/>
    <n v="3786.67"/>
    <n v="58.14"/>
    <n v="46.11"/>
    <n v="27.82"/>
    <n v="58.25"/>
    <n v="14.29"/>
    <n v="83.99"/>
    <n v="760.88"/>
    <s v="Moderate"/>
  </r>
  <r>
    <n v="236"/>
    <x v="0"/>
    <x v="9"/>
    <n v="44354.39"/>
    <n v="45.83"/>
    <n v="43.18"/>
    <n v="18.32"/>
    <n v="80.709999999999994"/>
    <n v="22.63"/>
    <n v="53.5"/>
    <n v="410.99"/>
    <s v="Moderate"/>
  </r>
  <r>
    <n v="237"/>
    <x v="16"/>
    <x v="9"/>
    <n v="33433.07"/>
    <n v="27.95"/>
    <n v="38.950000000000003"/>
    <n v="26.17"/>
    <n v="91.55"/>
    <n v="24.16"/>
    <n v="56.1"/>
    <n v="1061.0999999999999"/>
    <s v="Moderate"/>
  </r>
  <r>
    <n v="238"/>
    <x v="3"/>
    <x v="9"/>
    <n v="44237.4"/>
    <n v="23.1"/>
    <n v="30.57"/>
    <n v="22.64"/>
    <n v="82.28"/>
    <n v="13.8"/>
    <n v="81.5"/>
    <n v="1144.52"/>
    <s v="Low"/>
  </r>
  <r>
    <n v="239"/>
    <x v="16"/>
    <x v="9"/>
    <n v="7681.34"/>
    <n v="17.32"/>
    <n v="53.89"/>
    <n v="24.25"/>
    <n v="91.53"/>
    <n v="10.53"/>
    <n v="74.05"/>
    <n v="301.2"/>
    <s v="High"/>
  </r>
  <r>
    <n v="240"/>
    <x v="15"/>
    <x v="9"/>
    <n v="41979.39"/>
    <n v="5.24"/>
    <n v="44.85"/>
    <n v="17.52"/>
    <n v="69.709999999999994"/>
    <n v="19.5"/>
    <n v="55.52"/>
    <n v="113.57"/>
    <s v="Moderate"/>
  </r>
  <r>
    <n v="241"/>
    <x v="10"/>
    <x v="9"/>
    <n v="64522.67"/>
    <n v="40.85"/>
    <n v="56.86"/>
    <n v="14.52"/>
    <n v="60.16"/>
    <n v="4"/>
    <n v="74.62"/>
    <n v="626.79"/>
    <s v="High"/>
  </r>
  <r>
    <n v="242"/>
    <x v="23"/>
    <x v="9"/>
    <n v="31152.19"/>
    <n v="47.69"/>
    <n v="44.47"/>
    <n v="24.71"/>
    <n v="94.63"/>
    <n v="11.12"/>
    <n v="61.14"/>
    <n v="860.95"/>
    <s v="Moderate"/>
  </r>
  <r>
    <n v="243"/>
    <x v="10"/>
    <x v="9"/>
    <n v="63935.54"/>
    <n v="15.27"/>
    <n v="49.92"/>
    <n v="18.420000000000002"/>
    <n v="87.26"/>
    <n v="4.16"/>
    <n v="75.62"/>
    <n v="1318.55"/>
    <s v="Moderate"/>
  </r>
  <r>
    <n v="244"/>
    <x v="20"/>
    <x v="9"/>
    <n v="31615.119999999999"/>
    <n v="34.43"/>
    <n v="39.369999999999997"/>
    <n v="17.420000000000002"/>
    <n v="62.2"/>
    <n v="10.39"/>
    <n v="83.99"/>
    <n v="378"/>
    <s v="Moderate"/>
  </r>
  <r>
    <n v="245"/>
    <x v="19"/>
    <x v="9"/>
    <n v="48515.25"/>
    <n v="44.62"/>
    <n v="33.630000000000003"/>
    <n v="19.13"/>
    <n v="72.33"/>
    <n v="16.63"/>
    <n v="55.52"/>
    <n v="955.59"/>
    <s v="Low"/>
  </r>
  <r>
    <n v="246"/>
    <x v="22"/>
    <x v="9"/>
    <n v="69154.759999999995"/>
    <n v="10.6"/>
    <n v="52.81"/>
    <n v="12.51"/>
    <n v="73.84"/>
    <n v="18.22"/>
    <n v="74.849999999999994"/>
    <n v="1437.36"/>
    <s v="High"/>
  </r>
  <r>
    <n v="247"/>
    <x v="12"/>
    <x v="9"/>
    <n v="54828.7"/>
    <n v="30.97"/>
    <n v="27.33"/>
    <n v="27.87"/>
    <n v="57.54"/>
    <n v="17.68"/>
    <n v="84.46"/>
    <n v="350.62"/>
    <s v="Low"/>
  </r>
  <r>
    <n v="248"/>
    <x v="0"/>
    <x v="9"/>
    <n v="46427.29"/>
    <n v="58.39"/>
    <n v="50.47"/>
    <n v="17.96"/>
    <n v="57.93"/>
    <n v="13.44"/>
    <n v="56.96"/>
    <n v="1070.5899999999999"/>
    <s v="High"/>
  </r>
  <r>
    <n v="249"/>
    <x v="11"/>
    <x v="9"/>
    <n v="8988.86"/>
    <n v="27.82"/>
    <n v="58.59"/>
    <n v="11.98"/>
    <n v="80.16"/>
    <n v="15.11"/>
    <n v="58.09"/>
    <n v="528.42999999999995"/>
    <s v="High"/>
  </r>
  <r>
    <n v="250"/>
    <x v="17"/>
    <x v="9"/>
    <n v="18743.34"/>
    <n v="29.07"/>
    <n v="59.91"/>
    <n v="23.89"/>
    <n v="63.19"/>
    <n v="20.260000000000002"/>
    <n v="67.12"/>
    <n v="702.89"/>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DF591-719F-417C-8AAF-17D7845324B9}" name="PivotTable9"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6">
  <location ref="A3:A4" firstHeaderRow="1" firstDataRow="1" firstDataCol="0"/>
  <pivotFields count="12">
    <pivotField showAll="0"/>
    <pivotField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GDP_Per_Capita" fld="3" subtotal="average" baseField="0" baseItem="0"/>
  </dataFields>
  <formats count="3">
    <format dxfId="130">
      <pivotArea outline="0" collapsedLevelsAreSubtotals="1" fieldPosition="0"/>
    </format>
    <format dxfId="131">
      <pivotArea outline="0" collapsedLevelsAreSubtotals="1" fieldPosition="0"/>
    </format>
    <format dxfId="132">
      <pivotArea outline="0" collapsedLevelsAreSubtotals="1"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5A440-6D88-4823-ACD3-AAFD64553F7B}" name="PivotTable1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Z10:AA36"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Gini_Index" fld="5" subtotal="count" baseField="1"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EFD55-D741-4FF3-9FA5-4730C8C92F4C}" name="PivotTable1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10:R36"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showAll="0"/>
    <pivotField showAll="0"/>
    <pivotField showAll="0"/>
    <pivotField dataField="1"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Literacy_Rate_Percent" fld="7" subtotal="average" baseField="1"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DDD92-E524-4109-BBED-B4D686EB0331}" name="PivotTable1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0:J36"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Unemployment_Rate_Percent" fld="6" subtotal="average"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EB277B-C049-4ED1-A998-1D8EC6BD521B}" name="PivotTable1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B35"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GDP_Per_Capita_USD" fld="3" subtotal="average" baseField="1"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AAB96-90FC-45F9-A2C5-10FED85CB866}" name="PivotTable12" cacheId="27"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S3:S4" firstHeaderRow="1" firstDataRow="1" firstDataCol="0"/>
  <pivotFields count="12">
    <pivotField showAll="0"/>
    <pivotField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Literacy_Rate_Percent" fld="7" subtotal="average" baseField="0" baseItem="0"/>
  </dataFields>
  <formats count="3">
    <format dxfId="121">
      <pivotArea outline="0" collapsedLevelsAreSubtotals="1" fieldPosition="0"/>
    </format>
    <format dxfId="122">
      <pivotArea outline="0" collapsedLevelsAreSubtotals="1" fieldPosition="0"/>
    </format>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67233-3E78-4EF2-A865-04A77ED4A8F6}" name="PivotTable11" cacheId="27"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J3:J4" firstHeaderRow="1" firstDataRow="1" firstDataCol="0"/>
  <pivotFields count="12">
    <pivotField showAll="0"/>
    <pivotField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Unemployment_Rate_Percent" fld="6" subtotal="average" baseField="1" baseItem="0"/>
  </dataFields>
  <formats count="3">
    <format dxfId="124">
      <pivotArea outline="0" collapsedLevelsAreSubtotals="1" fieldPosition="0"/>
    </format>
    <format dxfId="125">
      <pivotArea outline="0" collapsedLevelsAreSubtotals="1" fieldPosition="0"/>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012E3-41F3-4B5A-8D4B-AA4ABF7055CF}" name="PivotTable10"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H3:H4" firstHeaderRow="1" firstDataRow="1" firstDataCol="0"/>
  <pivotFields count="12">
    <pivotField showAll="0"/>
    <pivotField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x="1"/>
        <item x="2"/>
        <item x="3"/>
        <item x="4"/>
        <item x="5"/>
        <item x="6"/>
        <item x="7"/>
        <item x="8"/>
        <item x="9"/>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Poverty_Rate_Percent" fld="4" subtotal="average" baseField="1" baseItem="0"/>
  </dataFields>
  <formats count="3">
    <format dxfId="127">
      <pivotArea outline="0" collapsedLevelsAreSubtotals="1" fieldPosition="0"/>
    </format>
    <format dxfId="128">
      <pivotArea outline="0" collapsedLevelsAreSubtotals="1" fieldPosition="0"/>
    </format>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A67B42-1F25-4866-ACFF-6EC4C0CB5847}" name="PivotTable2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35"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Unemployment_Rate_Percent"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1280E5-4926-4B73-8422-4388238317BC}" name="PivotTable2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28" firstHeaderRow="1" firstDataRow="1" firstDataCol="1"/>
  <pivotFields count="12">
    <pivotField showAll="0"/>
    <pivotField axis="axisRow"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Literacy_Rate_Percen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246D42-C36A-47EE-A187-0CD94A3E4B11}" name="PivotTable2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2">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Literacy_Rate_Percen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7C272F-4147-4C11-8474-AF417DF51EC5}" name="PivotTable1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2">
    <pivotField showAll="0"/>
    <pivotField showAll="0">
      <items count="26">
        <item x="19"/>
        <item x="2"/>
        <item x="18"/>
        <item x="4"/>
        <item x="24"/>
        <item x="15"/>
        <item x="20"/>
        <item x="13"/>
        <item x="0"/>
        <item x="9"/>
        <item x="16"/>
        <item x="1"/>
        <item x="21"/>
        <item x="12"/>
        <item x="3"/>
        <item x="10"/>
        <item x="22"/>
        <item x="14"/>
        <item x="5"/>
        <item x="8"/>
        <item x="11"/>
        <item x="7"/>
        <item x="6"/>
        <item x="17"/>
        <item x="23"/>
        <item t="default"/>
      </items>
    </pivotField>
    <pivotField showAll="0">
      <items count="11">
        <item x="0"/>
        <item h="1" x="1"/>
        <item h="1" x="2"/>
        <item h="1" x="3"/>
        <item h="1" x="4"/>
        <item h="1" x="5"/>
        <item h="1" x="6"/>
        <item h="1" x="7"/>
        <item h="1" x="8"/>
        <item h="1" x="9"/>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Poverty_Rate_Percen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1D3D6F-47DA-4F04-A532-568D435D017B}"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2">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Unemployment_Rate_Percent"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B0E7FC-3A76-4CC1-8241-19A06D8730F3}" name="PivotTable1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2">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GDP_Per_Capita_USD"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0D6183C-D784-4365-8646-C2EF94C9DF88}" sourceName="Year">
  <pivotTables>
    <pivotTable tabId="12" name="PivotTable9"/>
    <pivotTable tabId="12" name="PivotTable10"/>
    <pivotTable tabId="12" name="PivotTable11"/>
    <pivotTable tabId="12" name="PivotTable12"/>
    <pivotTable tabId="12" name="PivotTable13"/>
    <pivotTable tabId="12" name="PivotTable14"/>
    <pivotTable tabId="12" name="PivotTable15"/>
    <pivotTable tabId="12" name="PivotTable16"/>
  </pivotTables>
  <data>
    <tabular pivotCacheId="526700523">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D3E6E2-BE38-4BC1-BA74-6214A321C1BB}" sourceName="Country">
  <pivotTables>
    <pivotTable tabId="12" name="PivotTable16"/>
    <pivotTable tabId="12" name="PivotTable10"/>
    <pivotTable tabId="12" name="PivotTable11"/>
    <pivotTable tabId="12" name="PivotTable12"/>
    <pivotTable tabId="12" name="PivotTable13"/>
    <pivotTable tabId="12" name="PivotTable14"/>
    <pivotTable tabId="12" name="PivotTable15"/>
    <pivotTable tabId="12" name="PivotTable9"/>
  </pivotTables>
  <data>
    <tabular pivotCacheId="526700523">
      <items count="25">
        <i x="19" s="1"/>
        <i x="2" s="1"/>
        <i x="18" s="1"/>
        <i x="4" s="1"/>
        <i x="24" s="1"/>
        <i x="15" s="1"/>
        <i x="20" s="1"/>
        <i x="13" s="1"/>
        <i x="0" s="1"/>
        <i x="9" s="1"/>
        <i x="16" s="1"/>
        <i x="1" s="1"/>
        <i x="21" s="1"/>
        <i x="12" s="1"/>
        <i x="3" s="1"/>
        <i x="10" s="1"/>
        <i x="22" s="1"/>
        <i x="14" s="1"/>
        <i x="5" s="1"/>
        <i x="8" s="1"/>
        <i x="11" s="1"/>
        <i x="7" s="1"/>
        <i x="6" s="1"/>
        <i x="17"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5F0D1CE-AD8B-4060-B962-8C235C4BC032}" cache="Slicer_Year" caption="Year" columnCount="2" style="SlicerStyleDark5" rowHeight="396000"/>
  <slicer name="Country" xr10:uid="{6A589FCD-C31F-4409-B717-2E4A6C81AE69}" cache="Slicer_Country" caption="Country" columnCount="3" style="SlicerStyleLigh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1E296E-28C5-40E2-AA7C-E0564D0679ED}" name="Table1" displayName="Table1" ref="A1:L252" totalsRowCount="1" headerRowDxfId="181" dataDxfId="182">
  <autoFilter ref="A1:L251" xr:uid="{061E296E-28C5-40E2-AA7C-E0564D0679ED}"/>
  <sortState xmlns:xlrd2="http://schemas.microsoft.com/office/spreadsheetml/2017/richdata2" ref="A2:L251">
    <sortCondition ref="C1:C251"/>
  </sortState>
  <tableColumns count="12">
    <tableColumn id="1" xr3:uid="{D501D308-D18E-4E92-A810-1D6F089FBD5E}" name="Entry_ID" dataDxfId="194" totalsRowDxfId="180"/>
    <tableColumn id="2" xr3:uid="{889B138A-3CAC-45CA-8F7A-B70C4A0F90BF}" name="Country" dataDxfId="193" totalsRowDxfId="179"/>
    <tableColumn id="3" xr3:uid="{B94D8757-3ABF-4369-8A50-C76A2E0F1646}" name="Year" dataDxfId="192" totalsRowDxfId="178"/>
    <tableColumn id="4" xr3:uid="{58A1AEBD-2F91-4717-9776-B69D7177B6D3}" name="GDP_Per_Capita_USD" totalsRowFunction="custom" dataDxfId="191" totalsRowDxfId="177">
      <totalsRowFormula>AVERAGE(D2:D251)</totalsRowFormula>
    </tableColumn>
    <tableColumn id="5" xr3:uid="{E7878075-F5B3-4DCB-8EB6-F2C9C87177B4}" name="Poverty_Rate_Percent" totalsRowFunction="custom" dataDxfId="190" totalsRowDxfId="176">
      <totalsRowFormula>AVERAGE(E2:E251)</totalsRowFormula>
    </tableColumn>
    <tableColumn id="6" xr3:uid="{3414B90A-947E-4DBA-B6DC-B58ED88FB265}" name="Gini_Index" totalsRowFunction="custom" dataDxfId="189" totalsRowDxfId="175">
      <totalsRowFormula>AVERAGE(F2:F251)</totalsRowFormula>
    </tableColumn>
    <tableColumn id="7" xr3:uid="{1CB845CA-C0EC-4DA8-B0B0-9494D88D8047}" name="Unemployment_Rate_Percent" totalsRowFunction="custom" dataDxfId="188" totalsRowDxfId="174">
      <totalsRowFormula>AVERAGE(G2:G251)</totalsRowFormula>
    </tableColumn>
    <tableColumn id="8" xr3:uid="{966A1A75-B47D-4852-A769-77D55556C240}" name="Literacy_Rate_Percent" totalsRowFunction="custom" dataDxfId="187" totalsRowDxfId="173">
      <totalsRowFormula>AVERAGE(H2:H251)</totalsRowFormula>
    </tableColumn>
    <tableColumn id="9" xr3:uid="{C493DA96-8A53-44AA-895E-526933C21918}" name="Social_Spending_Percent_GDP" dataDxfId="186" totalsRowDxfId="172"/>
    <tableColumn id="10" xr3:uid="{B46FAA6B-8FC1-47FB-95DD-D59E56E91E90}" name="Life_Expectancy_Years" dataDxfId="185" totalsRowDxfId="171"/>
    <tableColumn id="11" xr3:uid="{57ED5DCA-7684-4E24-867D-A631C594CC36}" name="Population_Millions" dataDxfId="184" totalsRowDxfId="170"/>
    <tableColumn id="12" xr3:uid="{6B04CE7F-CD93-4439-A1BC-D6F9D82FC938}" name="Economic_Inequality_Level" dataDxfId="183" totalsRowDxfId="169"/>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9E52-E9C1-4FB4-9B75-B535723E0D0F}">
  <dimension ref="I6:AG12"/>
  <sheetViews>
    <sheetView showGridLines="0" topLeftCell="C1" zoomScale="53" zoomScaleNormal="45" workbookViewId="0">
      <selection activeCell="S19" sqref="S19"/>
    </sheetView>
  </sheetViews>
  <sheetFormatPr defaultRowHeight="24" x14ac:dyDescent="0.95"/>
  <cols>
    <col min="8" max="8" width="4.61328125" customWidth="1"/>
    <col min="9" max="9" width="36.69140625" customWidth="1"/>
    <col min="10" max="10" width="0.53515625" hidden="1" customWidth="1"/>
    <col min="11" max="11" width="0.69140625" customWidth="1"/>
    <col min="12" max="12" width="40.921875" customWidth="1"/>
    <col min="13" max="13" width="0.4609375" customWidth="1"/>
    <col min="14" max="14" width="9.23046875" hidden="1" customWidth="1"/>
    <col min="15" max="15" width="51.921875" customWidth="1"/>
    <col min="16" max="16" width="1.84375" hidden="1" customWidth="1"/>
    <col min="17" max="17" width="0.53515625" customWidth="1"/>
    <col min="18" max="18" width="59.69140625" customWidth="1"/>
  </cols>
  <sheetData>
    <row r="6" spans="9:33" ht="46" x14ac:dyDescent="1.75">
      <c r="I6" s="11" t="s">
        <v>44</v>
      </c>
      <c r="L6" s="9" t="s">
        <v>49</v>
      </c>
      <c r="O6" s="9" t="s">
        <v>50</v>
      </c>
      <c r="R6" s="9" t="s">
        <v>51</v>
      </c>
    </row>
    <row r="7" spans="9:33" ht="41" x14ac:dyDescent="1.55">
      <c r="I7" s="10">
        <f>Sheet7!A4</f>
        <v>34888.411679999976</v>
      </c>
      <c r="L7" s="8">
        <f>Sheet7!H4</f>
        <v>33.165600000000005</v>
      </c>
      <c r="O7" s="8">
        <f>Sheet7!J4</f>
        <v>15.668719999999995</v>
      </c>
      <c r="R7" s="8">
        <f>Sheet7!S4</f>
        <v>77.290480000000002</v>
      </c>
    </row>
    <row r="11" spans="9:33" x14ac:dyDescent="0.95">
      <c r="AG11" s="3"/>
    </row>
    <row r="12" spans="9:33" x14ac:dyDescent="0.95">
      <c r="AG1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6823-1416-4654-9D7D-109A3D5C5962}">
  <dimension ref="A3:AA36"/>
  <sheetViews>
    <sheetView zoomScale="47" workbookViewId="0">
      <selection activeCell="U16" sqref="U16"/>
    </sheetView>
  </sheetViews>
  <sheetFormatPr defaultRowHeight="24" x14ac:dyDescent="0.95"/>
  <cols>
    <col min="1" max="1" width="27.53515625" bestFit="1" customWidth="1"/>
    <col min="2" max="2" width="32.84375" bestFit="1" customWidth="1"/>
    <col min="8" max="8" width="33" bestFit="1" customWidth="1"/>
    <col min="9" max="9" width="15.61328125" bestFit="1" customWidth="1"/>
    <col min="10" max="10" width="39.69140625" bestFit="1" customWidth="1"/>
    <col min="11" max="11" width="7.921875" bestFit="1" customWidth="1"/>
    <col min="17" max="17" width="15.61328125" bestFit="1" customWidth="1"/>
    <col min="18" max="19" width="33.61328125" bestFit="1" customWidth="1"/>
    <col min="20" max="20" width="7.921875" bestFit="1" customWidth="1"/>
    <col min="26" max="26" width="15.61328125" bestFit="1" customWidth="1"/>
    <col min="27" max="27" width="19.3828125" bestFit="1" customWidth="1"/>
  </cols>
  <sheetData>
    <row r="3" spans="1:27" ht="45" customHeight="1" x14ac:dyDescent="0.95">
      <c r="A3" t="s">
        <v>48</v>
      </c>
      <c r="C3" s="3"/>
      <c r="H3" t="s">
        <v>43</v>
      </c>
      <c r="J3" t="s">
        <v>45</v>
      </c>
      <c r="S3" t="s">
        <v>46</v>
      </c>
    </row>
    <row r="4" spans="1:27" ht="49.5" x14ac:dyDescent="1.85">
      <c r="A4" s="6">
        <v>34888.411679999976</v>
      </c>
      <c r="C4" s="2"/>
      <c r="H4" s="6">
        <v>33.165600000000005</v>
      </c>
      <c r="J4" s="6">
        <v>15.668719999999995</v>
      </c>
      <c r="S4" s="6">
        <v>77.290480000000002</v>
      </c>
    </row>
    <row r="9" spans="1:27" x14ac:dyDescent="0.95">
      <c r="A9" s="4" t="s">
        <v>40</v>
      </c>
      <c r="B9" t="s">
        <v>42</v>
      </c>
    </row>
    <row r="10" spans="1:27" x14ac:dyDescent="0.95">
      <c r="A10" s="5" t="s">
        <v>32</v>
      </c>
      <c r="B10" s="2">
        <v>40380.5</v>
      </c>
      <c r="I10" s="4" t="s">
        <v>40</v>
      </c>
      <c r="J10" t="s">
        <v>45</v>
      </c>
      <c r="Q10" s="4" t="s">
        <v>40</v>
      </c>
      <c r="R10" t="s">
        <v>46</v>
      </c>
      <c r="Z10" s="4" t="s">
        <v>40</v>
      </c>
      <c r="AA10" t="s">
        <v>47</v>
      </c>
    </row>
    <row r="11" spans="1:27" x14ac:dyDescent="0.95">
      <c r="A11" s="5" t="s">
        <v>26</v>
      </c>
      <c r="B11" s="2">
        <v>38922.986153846148</v>
      </c>
      <c r="I11" s="5" t="s">
        <v>32</v>
      </c>
      <c r="J11" s="2">
        <v>14.975555555555555</v>
      </c>
      <c r="Q11" s="5" t="s">
        <v>32</v>
      </c>
      <c r="R11" s="2">
        <v>80.583333333333329</v>
      </c>
      <c r="Z11" s="5" t="s">
        <v>32</v>
      </c>
      <c r="AA11" s="2">
        <v>9</v>
      </c>
    </row>
    <row r="12" spans="1:27" x14ac:dyDescent="0.95">
      <c r="A12" s="5" t="s">
        <v>22</v>
      </c>
      <c r="B12" s="2">
        <v>36649.290769230771</v>
      </c>
      <c r="I12" s="5" t="s">
        <v>26</v>
      </c>
      <c r="J12" s="2">
        <v>11.55</v>
      </c>
      <c r="Q12" s="5" t="s">
        <v>26</v>
      </c>
      <c r="R12" s="2">
        <v>76.577692307692303</v>
      </c>
      <c r="Z12" s="5" t="s">
        <v>26</v>
      </c>
      <c r="AA12" s="2">
        <v>13</v>
      </c>
    </row>
    <row r="13" spans="1:27" x14ac:dyDescent="0.95">
      <c r="A13" s="5" t="s">
        <v>20</v>
      </c>
      <c r="B13" s="2">
        <v>29824.912727272724</v>
      </c>
      <c r="I13" s="5" t="s">
        <v>22</v>
      </c>
      <c r="J13" s="2">
        <v>19.279230769230765</v>
      </c>
      <c r="Q13" s="5" t="s">
        <v>22</v>
      </c>
      <c r="R13" s="2">
        <v>79.124615384615396</v>
      </c>
      <c r="Z13" s="5" t="s">
        <v>22</v>
      </c>
      <c r="AA13" s="2">
        <v>13</v>
      </c>
    </row>
    <row r="14" spans="1:27" x14ac:dyDescent="0.95">
      <c r="A14" s="5" t="s">
        <v>38</v>
      </c>
      <c r="B14" s="2">
        <v>35090.524999999994</v>
      </c>
      <c r="I14" s="5" t="s">
        <v>20</v>
      </c>
      <c r="J14" s="2">
        <v>17.168181818181822</v>
      </c>
      <c r="Q14" s="5" t="s">
        <v>20</v>
      </c>
      <c r="R14" s="2">
        <v>77.085454545454553</v>
      </c>
      <c r="Z14" s="5" t="s">
        <v>20</v>
      </c>
      <c r="AA14" s="2">
        <v>11</v>
      </c>
    </row>
    <row r="15" spans="1:27" x14ac:dyDescent="0.95">
      <c r="A15" s="5" t="s">
        <v>18</v>
      </c>
      <c r="B15" s="2">
        <v>28119.25916666667</v>
      </c>
      <c r="I15" s="5" t="s">
        <v>38</v>
      </c>
      <c r="J15" s="2">
        <v>16.900000000000002</v>
      </c>
      <c r="Q15" s="5" t="s">
        <v>38</v>
      </c>
      <c r="R15" s="2">
        <v>71.8</v>
      </c>
      <c r="Z15" s="5" t="s">
        <v>38</v>
      </c>
      <c r="AA15" s="2">
        <v>2</v>
      </c>
    </row>
    <row r="16" spans="1:27" x14ac:dyDescent="0.95">
      <c r="A16" s="5" t="s">
        <v>19</v>
      </c>
      <c r="B16" s="2">
        <v>31591.229285714278</v>
      </c>
      <c r="I16" s="5" t="s">
        <v>18</v>
      </c>
      <c r="J16" s="2">
        <v>14.330000000000004</v>
      </c>
      <c r="Q16" s="5" t="s">
        <v>18</v>
      </c>
      <c r="R16" s="2">
        <v>75.707499999999996</v>
      </c>
      <c r="Z16" s="5" t="s">
        <v>18</v>
      </c>
      <c r="AA16" s="2">
        <v>12</v>
      </c>
    </row>
    <row r="17" spans="1:27" x14ac:dyDescent="0.95">
      <c r="A17" s="5" t="s">
        <v>28</v>
      </c>
      <c r="B17" s="2">
        <v>39379.305999999997</v>
      </c>
      <c r="I17" s="5" t="s">
        <v>19</v>
      </c>
      <c r="J17" s="2">
        <v>15</v>
      </c>
      <c r="Q17" s="5" t="s">
        <v>19</v>
      </c>
      <c r="R17" s="2">
        <v>78.400000000000006</v>
      </c>
      <c r="Z17" s="5" t="s">
        <v>19</v>
      </c>
      <c r="AA17" s="2">
        <v>14</v>
      </c>
    </row>
    <row r="18" spans="1:27" x14ac:dyDescent="0.95">
      <c r="A18" s="5" t="s">
        <v>21</v>
      </c>
      <c r="B18" s="2">
        <v>32278.74090909091</v>
      </c>
      <c r="I18" s="5" t="s">
        <v>28</v>
      </c>
      <c r="J18" s="2">
        <v>20.824000000000002</v>
      </c>
      <c r="Q18" s="5" t="s">
        <v>28</v>
      </c>
      <c r="R18" s="2">
        <v>82.759999999999991</v>
      </c>
      <c r="Z18" s="5" t="s">
        <v>28</v>
      </c>
      <c r="AA18" s="2">
        <v>5</v>
      </c>
    </row>
    <row r="19" spans="1:27" x14ac:dyDescent="0.95">
      <c r="A19" s="5" t="s">
        <v>30</v>
      </c>
      <c r="B19" s="2">
        <v>32636.400000000001</v>
      </c>
      <c r="I19" s="5" t="s">
        <v>21</v>
      </c>
      <c r="J19" s="2">
        <v>17.009999999999998</v>
      </c>
      <c r="Q19" s="5" t="s">
        <v>21</v>
      </c>
      <c r="R19" s="2">
        <v>74.390909090909091</v>
      </c>
      <c r="Z19" s="5" t="s">
        <v>21</v>
      </c>
      <c r="AA19" s="2">
        <v>11</v>
      </c>
    </row>
    <row r="20" spans="1:27" x14ac:dyDescent="0.95">
      <c r="A20" s="5" t="s">
        <v>14</v>
      </c>
      <c r="B20" s="2">
        <v>31640.223846153855</v>
      </c>
      <c r="I20" s="5" t="s">
        <v>30</v>
      </c>
      <c r="J20" s="2">
        <v>15.294285714285712</v>
      </c>
      <c r="Q20" s="5" t="s">
        <v>30</v>
      </c>
      <c r="R20" s="2">
        <v>70.973571428571432</v>
      </c>
      <c r="Z20" s="5" t="s">
        <v>30</v>
      </c>
      <c r="AA20" s="2">
        <v>14</v>
      </c>
    </row>
    <row r="21" spans="1:27" x14ac:dyDescent="0.95">
      <c r="A21" s="5" t="s">
        <v>25</v>
      </c>
      <c r="B21" s="2">
        <v>44901.390000000007</v>
      </c>
      <c r="I21" s="5" t="s">
        <v>14</v>
      </c>
      <c r="J21" s="2">
        <v>17.970769230769232</v>
      </c>
      <c r="Q21" s="5" t="s">
        <v>14</v>
      </c>
      <c r="R21" s="2">
        <v>80.149230769230755</v>
      </c>
      <c r="Z21" s="5" t="s">
        <v>14</v>
      </c>
      <c r="AA21" s="2">
        <v>13</v>
      </c>
    </row>
    <row r="22" spans="1:27" x14ac:dyDescent="0.95">
      <c r="A22" s="5" t="s">
        <v>23</v>
      </c>
      <c r="B22" s="2">
        <v>35101.434444444443</v>
      </c>
      <c r="I22" s="5" t="s">
        <v>25</v>
      </c>
      <c r="J22" s="2">
        <v>18.647777777777776</v>
      </c>
      <c r="Q22" s="5" t="s">
        <v>25</v>
      </c>
      <c r="R22" s="2">
        <v>78.435555555555567</v>
      </c>
      <c r="Z22" s="5" t="s">
        <v>25</v>
      </c>
      <c r="AA22" s="2">
        <v>9</v>
      </c>
    </row>
    <row r="23" spans="1:27" x14ac:dyDescent="0.95">
      <c r="A23" s="5" t="s">
        <v>31</v>
      </c>
      <c r="B23" s="2">
        <v>40816.180833333332</v>
      </c>
      <c r="I23" s="5" t="s">
        <v>23</v>
      </c>
      <c r="J23" s="2">
        <v>16.54111111111111</v>
      </c>
      <c r="Q23" s="5" t="s">
        <v>23</v>
      </c>
      <c r="R23" s="2">
        <v>78.589999999999989</v>
      </c>
      <c r="Z23" s="5" t="s">
        <v>23</v>
      </c>
      <c r="AA23" s="2">
        <v>9</v>
      </c>
    </row>
    <row r="24" spans="1:27" x14ac:dyDescent="0.95">
      <c r="A24" s="5" t="s">
        <v>16</v>
      </c>
      <c r="B24" s="2">
        <v>36315.531538461539</v>
      </c>
      <c r="I24" s="5" t="s">
        <v>31</v>
      </c>
      <c r="J24" s="2">
        <v>17.509166666666669</v>
      </c>
      <c r="Q24" s="5" t="s">
        <v>31</v>
      </c>
      <c r="R24" s="2">
        <v>74.592499999999987</v>
      </c>
      <c r="Z24" s="5" t="s">
        <v>31</v>
      </c>
      <c r="AA24" s="2">
        <v>12</v>
      </c>
    </row>
    <row r="25" spans="1:27" x14ac:dyDescent="0.95">
      <c r="A25" s="5" t="s">
        <v>33</v>
      </c>
      <c r="B25" s="2">
        <v>42809.438181818179</v>
      </c>
      <c r="I25" s="5" t="s">
        <v>16</v>
      </c>
      <c r="J25" s="2">
        <v>12.171538461538463</v>
      </c>
      <c r="Q25" s="5" t="s">
        <v>16</v>
      </c>
      <c r="R25" s="2">
        <v>82.880769230769232</v>
      </c>
      <c r="Z25" s="5" t="s">
        <v>16</v>
      </c>
      <c r="AA25" s="2">
        <v>13</v>
      </c>
    </row>
    <row r="26" spans="1:27" x14ac:dyDescent="0.95">
      <c r="A26" s="5" t="s">
        <v>39</v>
      </c>
      <c r="B26" s="2">
        <v>65832.673333333325</v>
      </c>
      <c r="I26" s="5" t="s">
        <v>33</v>
      </c>
      <c r="J26" s="2">
        <v>13.134545454545453</v>
      </c>
      <c r="Q26" s="5" t="s">
        <v>33</v>
      </c>
      <c r="R26" s="2">
        <v>80.481818181818184</v>
      </c>
      <c r="Z26" s="5" t="s">
        <v>33</v>
      </c>
      <c r="AA26" s="2">
        <v>11</v>
      </c>
    </row>
    <row r="27" spans="1:27" x14ac:dyDescent="0.95">
      <c r="A27" s="5" t="s">
        <v>12</v>
      </c>
      <c r="B27" s="2">
        <v>19022.502500000002</v>
      </c>
      <c r="I27" s="5" t="s">
        <v>39</v>
      </c>
      <c r="J27" s="2">
        <v>17.59333333333333</v>
      </c>
      <c r="Q27" s="5" t="s">
        <v>39</v>
      </c>
      <c r="R27" s="2">
        <v>73.08</v>
      </c>
      <c r="Z27" s="5" t="s">
        <v>39</v>
      </c>
      <c r="AA27" s="2">
        <v>3</v>
      </c>
    </row>
    <row r="28" spans="1:27" x14ac:dyDescent="0.95">
      <c r="A28" s="5" t="s">
        <v>34</v>
      </c>
      <c r="B28" s="2">
        <v>35808.525625000002</v>
      </c>
      <c r="I28" s="5" t="s">
        <v>12</v>
      </c>
      <c r="J28" s="2">
        <v>15.536249999999999</v>
      </c>
      <c r="Q28" s="5" t="s">
        <v>12</v>
      </c>
      <c r="R28" s="2">
        <v>80.892499999999998</v>
      </c>
      <c r="Z28" s="5" t="s">
        <v>12</v>
      </c>
      <c r="AA28" s="2">
        <v>8</v>
      </c>
    </row>
    <row r="29" spans="1:27" x14ac:dyDescent="0.95">
      <c r="A29" s="5" t="s">
        <v>36</v>
      </c>
      <c r="B29" s="2">
        <v>25763.901818181817</v>
      </c>
      <c r="I29" s="5" t="s">
        <v>34</v>
      </c>
      <c r="J29" s="2">
        <v>14.728124999999999</v>
      </c>
      <c r="Q29" s="5" t="s">
        <v>34</v>
      </c>
      <c r="R29" s="2">
        <v>73.790000000000006</v>
      </c>
      <c r="Z29" s="5" t="s">
        <v>34</v>
      </c>
      <c r="AA29" s="2">
        <v>16</v>
      </c>
    </row>
    <row r="30" spans="1:27" x14ac:dyDescent="0.95">
      <c r="A30" s="5" t="s">
        <v>35</v>
      </c>
      <c r="B30" s="2">
        <v>41935.42</v>
      </c>
      <c r="I30" s="5" t="s">
        <v>36</v>
      </c>
      <c r="J30" s="2">
        <v>14.957272727272727</v>
      </c>
      <c r="Q30" s="5" t="s">
        <v>36</v>
      </c>
      <c r="R30" s="2">
        <v>75.626363636363635</v>
      </c>
      <c r="Z30" s="5" t="s">
        <v>36</v>
      </c>
      <c r="AA30" s="2">
        <v>11</v>
      </c>
    </row>
    <row r="31" spans="1:27" x14ac:dyDescent="0.95">
      <c r="A31" s="5" t="s">
        <v>27</v>
      </c>
      <c r="B31" s="2">
        <v>26934.752857142856</v>
      </c>
      <c r="I31" s="5" t="s">
        <v>35</v>
      </c>
      <c r="J31" s="2">
        <v>15.178999999999998</v>
      </c>
      <c r="Q31" s="5" t="s">
        <v>35</v>
      </c>
      <c r="R31" s="2">
        <v>70.141999999999996</v>
      </c>
      <c r="Z31" s="5" t="s">
        <v>35</v>
      </c>
      <c r="AA31" s="2">
        <v>10</v>
      </c>
    </row>
    <row r="32" spans="1:27" x14ac:dyDescent="0.95">
      <c r="A32" s="5" t="s">
        <v>24</v>
      </c>
      <c r="B32" s="2">
        <v>28903.57857142857</v>
      </c>
      <c r="I32" s="5" t="s">
        <v>27</v>
      </c>
      <c r="J32" s="2">
        <v>18.271428571428569</v>
      </c>
      <c r="Q32" s="5" t="s">
        <v>27</v>
      </c>
      <c r="R32" s="2">
        <v>81.822857142857146</v>
      </c>
      <c r="Z32" s="5" t="s">
        <v>27</v>
      </c>
      <c r="AA32" s="2">
        <v>7</v>
      </c>
    </row>
    <row r="33" spans="1:27" x14ac:dyDescent="0.95">
      <c r="A33" s="5" t="s">
        <v>29</v>
      </c>
      <c r="B33" s="2">
        <v>32244.702727272732</v>
      </c>
      <c r="I33" s="5" t="s">
        <v>24</v>
      </c>
      <c r="J33" s="2">
        <v>11.33</v>
      </c>
      <c r="Q33" s="5" t="s">
        <v>24</v>
      </c>
      <c r="R33" s="2">
        <v>73.618571428571428</v>
      </c>
      <c r="Z33" s="5" t="s">
        <v>24</v>
      </c>
      <c r="AA33" s="2">
        <v>7</v>
      </c>
    </row>
    <row r="34" spans="1:27" x14ac:dyDescent="0.95">
      <c r="A34" s="5" t="s">
        <v>37</v>
      </c>
      <c r="B34" s="2">
        <v>42387.213333333333</v>
      </c>
      <c r="I34" s="5" t="s">
        <v>29</v>
      </c>
      <c r="J34" s="2">
        <v>18.550909090909091</v>
      </c>
      <c r="Q34" s="5" t="s">
        <v>29</v>
      </c>
      <c r="R34" s="2">
        <v>79.641818181818181</v>
      </c>
      <c r="Z34" s="5" t="s">
        <v>29</v>
      </c>
      <c r="AA34" s="2">
        <v>11</v>
      </c>
    </row>
    <row r="35" spans="1:27" x14ac:dyDescent="0.95">
      <c r="A35" s="5" t="s">
        <v>41</v>
      </c>
      <c r="B35" s="2">
        <v>34888.411679999983</v>
      </c>
      <c r="I35" s="5" t="s">
        <v>37</v>
      </c>
      <c r="J35" s="2">
        <v>11.368333333333334</v>
      </c>
      <c r="Q35" s="5" t="s">
        <v>37</v>
      </c>
      <c r="R35" s="2">
        <v>82.061666666666667</v>
      </c>
      <c r="Z35" s="5" t="s">
        <v>37</v>
      </c>
      <c r="AA35" s="2">
        <v>6</v>
      </c>
    </row>
    <row r="36" spans="1:27" x14ac:dyDescent="0.95">
      <c r="I36" s="5" t="s">
        <v>41</v>
      </c>
      <c r="J36" s="2">
        <v>15.668719999999997</v>
      </c>
      <c r="Q36" s="5" t="s">
        <v>41</v>
      </c>
      <c r="R36" s="2">
        <v>77.290480000000017</v>
      </c>
      <c r="Z36" s="5" t="s">
        <v>41</v>
      </c>
      <c r="AA36" s="2">
        <v>250</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9D77-58B2-4F1D-98CB-0560AE127178}">
  <dimension ref="B2:G35"/>
  <sheetViews>
    <sheetView zoomScale="64" workbookViewId="0">
      <selection activeCell="B5" sqref="B5:B6"/>
    </sheetView>
  </sheetViews>
  <sheetFormatPr defaultRowHeight="24" x14ac:dyDescent="0.95"/>
  <cols>
    <col min="2" max="2" width="29.61328125" bestFit="1" customWidth="1"/>
    <col min="3" max="3" width="35.61328125" bestFit="1" customWidth="1"/>
    <col min="4" max="4" width="35.07421875" customWidth="1"/>
    <col min="5" max="5" width="26.4609375" bestFit="1" customWidth="1"/>
    <col min="6" max="6" width="13.84375" bestFit="1" customWidth="1"/>
    <col min="7" max="7" width="29.84375" bestFit="1" customWidth="1"/>
    <col min="9" max="9" width="9.23046875" customWidth="1"/>
  </cols>
  <sheetData>
    <row r="2" spans="2:7" x14ac:dyDescent="0.95">
      <c r="B2" t="s">
        <v>42</v>
      </c>
      <c r="D2" t="s">
        <v>45</v>
      </c>
      <c r="F2" s="4" t="s">
        <v>40</v>
      </c>
      <c r="G2" t="s">
        <v>46</v>
      </c>
    </row>
    <row r="3" spans="2:7" x14ac:dyDescent="0.95">
      <c r="B3" s="2">
        <v>34888.411679999976</v>
      </c>
      <c r="D3" s="2">
        <v>15.668719999999995</v>
      </c>
      <c r="F3" s="5" t="s">
        <v>32</v>
      </c>
      <c r="G3" s="2">
        <v>80.583333333333329</v>
      </c>
    </row>
    <row r="4" spans="2:7" x14ac:dyDescent="0.95">
      <c r="F4" s="5" t="s">
        <v>26</v>
      </c>
      <c r="G4" s="2">
        <v>76.577692307692303</v>
      </c>
    </row>
    <row r="5" spans="2:7" x14ac:dyDescent="0.95">
      <c r="B5" t="s">
        <v>43</v>
      </c>
      <c r="C5" s="1" t="s">
        <v>44</v>
      </c>
      <c r="D5" t="s">
        <v>46</v>
      </c>
      <c r="F5" s="5" t="s">
        <v>22</v>
      </c>
      <c r="G5" s="2">
        <v>79.124615384615396</v>
      </c>
    </row>
    <row r="6" spans="2:7" ht="44.5" customHeight="1" x14ac:dyDescent="1.75">
      <c r="B6" s="2">
        <v>33.165600000000005</v>
      </c>
      <c r="C6" s="7">
        <f>GETPIVOTDATA("Poverty_Rate_Percent",$B$5)</f>
        <v>33.165600000000005</v>
      </c>
      <c r="D6" s="2">
        <v>77.290480000000002</v>
      </c>
      <c r="F6" s="5" t="s">
        <v>20</v>
      </c>
      <c r="G6" s="2">
        <v>77.085454545454553</v>
      </c>
    </row>
    <row r="7" spans="2:7" x14ac:dyDescent="0.95">
      <c r="F7" s="5" t="s">
        <v>38</v>
      </c>
      <c r="G7" s="2">
        <v>71.8</v>
      </c>
    </row>
    <row r="8" spans="2:7" x14ac:dyDescent="0.95">
      <c r="F8" s="5" t="s">
        <v>18</v>
      </c>
      <c r="G8" s="2">
        <v>75.707499999999996</v>
      </c>
    </row>
    <row r="9" spans="2:7" x14ac:dyDescent="0.95">
      <c r="B9" s="4" t="s">
        <v>40</v>
      </c>
      <c r="C9" t="s">
        <v>45</v>
      </c>
      <c r="F9" s="5" t="s">
        <v>19</v>
      </c>
      <c r="G9" s="2">
        <v>78.400000000000006</v>
      </c>
    </row>
    <row r="10" spans="2:7" x14ac:dyDescent="0.95">
      <c r="B10" s="5" t="s">
        <v>32</v>
      </c>
      <c r="C10" s="2">
        <v>14.975555555555555</v>
      </c>
      <c r="F10" s="5" t="s">
        <v>28</v>
      </c>
      <c r="G10" s="2">
        <v>82.759999999999991</v>
      </c>
    </row>
    <row r="11" spans="2:7" x14ac:dyDescent="0.95">
      <c r="B11" s="5" t="s">
        <v>26</v>
      </c>
      <c r="C11" s="2">
        <v>11.55</v>
      </c>
      <c r="F11" s="5" t="s">
        <v>21</v>
      </c>
      <c r="G11" s="2">
        <v>74.390909090909091</v>
      </c>
    </row>
    <row r="12" spans="2:7" x14ac:dyDescent="0.95">
      <c r="B12" s="5" t="s">
        <v>22</v>
      </c>
      <c r="C12" s="2">
        <v>19.279230769230765</v>
      </c>
      <c r="F12" s="5" t="s">
        <v>30</v>
      </c>
      <c r="G12" s="2">
        <v>70.973571428571432</v>
      </c>
    </row>
    <row r="13" spans="2:7" x14ac:dyDescent="0.95">
      <c r="B13" s="5" t="s">
        <v>20</v>
      </c>
      <c r="C13" s="2">
        <v>17.168181818181822</v>
      </c>
      <c r="F13" s="5" t="s">
        <v>14</v>
      </c>
      <c r="G13" s="2">
        <v>80.149230769230755</v>
      </c>
    </row>
    <row r="14" spans="2:7" x14ac:dyDescent="0.95">
      <c r="B14" s="5" t="s">
        <v>38</v>
      </c>
      <c r="C14" s="2">
        <v>16.900000000000002</v>
      </c>
      <c r="F14" s="5" t="s">
        <v>25</v>
      </c>
      <c r="G14" s="2">
        <v>78.435555555555567</v>
      </c>
    </row>
    <row r="15" spans="2:7" x14ac:dyDescent="0.95">
      <c r="B15" s="5" t="s">
        <v>18</v>
      </c>
      <c r="C15" s="2">
        <v>14.330000000000004</v>
      </c>
      <c r="F15" s="5" t="s">
        <v>23</v>
      </c>
      <c r="G15" s="2">
        <v>78.589999999999989</v>
      </c>
    </row>
    <row r="16" spans="2:7" x14ac:dyDescent="0.95">
      <c r="B16" s="5" t="s">
        <v>19</v>
      </c>
      <c r="C16" s="2">
        <v>15</v>
      </c>
      <c r="F16" s="5" t="s">
        <v>31</v>
      </c>
      <c r="G16" s="2">
        <v>74.592499999999987</v>
      </c>
    </row>
    <row r="17" spans="2:7" x14ac:dyDescent="0.95">
      <c r="B17" s="5" t="s">
        <v>28</v>
      </c>
      <c r="C17" s="2">
        <v>20.824000000000002</v>
      </c>
      <c r="F17" s="5" t="s">
        <v>16</v>
      </c>
      <c r="G17" s="2">
        <v>82.880769230769232</v>
      </c>
    </row>
    <row r="18" spans="2:7" x14ac:dyDescent="0.95">
      <c r="B18" s="5" t="s">
        <v>21</v>
      </c>
      <c r="C18" s="2">
        <v>17.009999999999998</v>
      </c>
      <c r="F18" s="5" t="s">
        <v>33</v>
      </c>
      <c r="G18" s="2">
        <v>80.481818181818184</v>
      </c>
    </row>
    <row r="19" spans="2:7" x14ac:dyDescent="0.95">
      <c r="B19" s="5" t="s">
        <v>30</v>
      </c>
      <c r="C19" s="2">
        <v>15.294285714285712</v>
      </c>
      <c r="F19" s="5" t="s">
        <v>39</v>
      </c>
      <c r="G19" s="2">
        <v>73.08</v>
      </c>
    </row>
    <row r="20" spans="2:7" x14ac:dyDescent="0.95">
      <c r="B20" s="5" t="s">
        <v>14</v>
      </c>
      <c r="C20" s="2">
        <v>17.970769230769232</v>
      </c>
      <c r="F20" s="5" t="s">
        <v>12</v>
      </c>
      <c r="G20" s="2">
        <v>80.892499999999998</v>
      </c>
    </row>
    <row r="21" spans="2:7" x14ac:dyDescent="0.95">
      <c r="B21" s="5" t="s">
        <v>25</v>
      </c>
      <c r="C21" s="2">
        <v>18.647777777777776</v>
      </c>
      <c r="F21" s="5" t="s">
        <v>34</v>
      </c>
      <c r="G21" s="2">
        <v>73.790000000000006</v>
      </c>
    </row>
    <row r="22" spans="2:7" x14ac:dyDescent="0.95">
      <c r="B22" s="5" t="s">
        <v>23</v>
      </c>
      <c r="C22" s="2">
        <v>16.54111111111111</v>
      </c>
      <c r="F22" s="5" t="s">
        <v>36</v>
      </c>
      <c r="G22" s="2">
        <v>75.626363636363635</v>
      </c>
    </row>
    <row r="23" spans="2:7" x14ac:dyDescent="0.95">
      <c r="B23" s="5" t="s">
        <v>31</v>
      </c>
      <c r="C23" s="2">
        <v>17.509166666666669</v>
      </c>
      <c r="F23" s="5" t="s">
        <v>35</v>
      </c>
      <c r="G23" s="2">
        <v>70.141999999999996</v>
      </c>
    </row>
    <row r="24" spans="2:7" x14ac:dyDescent="0.95">
      <c r="B24" s="5" t="s">
        <v>16</v>
      </c>
      <c r="C24" s="2">
        <v>12.171538461538463</v>
      </c>
      <c r="F24" s="5" t="s">
        <v>27</v>
      </c>
      <c r="G24" s="2">
        <v>81.822857142857146</v>
      </c>
    </row>
    <row r="25" spans="2:7" x14ac:dyDescent="0.95">
      <c r="B25" s="5" t="s">
        <v>33</v>
      </c>
      <c r="C25" s="2">
        <v>13.134545454545453</v>
      </c>
      <c r="F25" s="5" t="s">
        <v>24</v>
      </c>
      <c r="G25" s="2">
        <v>73.618571428571428</v>
      </c>
    </row>
    <row r="26" spans="2:7" x14ac:dyDescent="0.95">
      <c r="B26" s="5" t="s">
        <v>39</v>
      </c>
      <c r="C26" s="2">
        <v>17.59333333333333</v>
      </c>
      <c r="F26" s="5" t="s">
        <v>29</v>
      </c>
      <c r="G26" s="2">
        <v>79.641818181818181</v>
      </c>
    </row>
    <row r="27" spans="2:7" x14ac:dyDescent="0.95">
      <c r="B27" s="5" t="s">
        <v>12</v>
      </c>
      <c r="C27" s="2">
        <v>15.536249999999999</v>
      </c>
      <c r="F27" s="5" t="s">
        <v>37</v>
      </c>
      <c r="G27" s="2">
        <v>82.061666666666667</v>
      </c>
    </row>
    <row r="28" spans="2:7" x14ac:dyDescent="0.95">
      <c r="B28" s="5" t="s">
        <v>34</v>
      </c>
      <c r="C28" s="2">
        <v>14.728124999999999</v>
      </c>
      <c r="F28" s="5" t="s">
        <v>41</v>
      </c>
      <c r="G28" s="2">
        <v>77.290480000000017</v>
      </c>
    </row>
    <row r="29" spans="2:7" x14ac:dyDescent="0.95">
      <c r="B29" s="5" t="s">
        <v>36</v>
      </c>
      <c r="C29" s="2">
        <v>14.957272727272727</v>
      </c>
    </row>
    <row r="30" spans="2:7" x14ac:dyDescent="0.95">
      <c r="B30" s="5" t="s">
        <v>35</v>
      </c>
      <c r="C30" s="2">
        <v>15.178999999999998</v>
      </c>
    </row>
    <row r="31" spans="2:7" x14ac:dyDescent="0.95">
      <c r="B31" s="5" t="s">
        <v>27</v>
      </c>
      <c r="C31" s="2">
        <v>18.271428571428569</v>
      </c>
    </row>
    <row r="32" spans="2:7" x14ac:dyDescent="0.95">
      <c r="B32" s="5" t="s">
        <v>24</v>
      </c>
      <c r="C32" s="2">
        <v>11.33</v>
      </c>
    </row>
    <row r="33" spans="2:3" x14ac:dyDescent="0.95">
      <c r="B33" s="5" t="s">
        <v>29</v>
      </c>
      <c r="C33" s="2">
        <v>18.550909090909091</v>
      </c>
    </row>
    <row r="34" spans="2:3" x14ac:dyDescent="0.95">
      <c r="B34" s="5" t="s">
        <v>37</v>
      </c>
      <c r="C34" s="2">
        <v>11.368333333333334</v>
      </c>
    </row>
    <row r="35" spans="2:3" x14ac:dyDescent="0.95">
      <c r="B35" s="5" t="s">
        <v>41</v>
      </c>
      <c r="C35" s="2">
        <v>15.668719999999997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2"/>
  <sheetViews>
    <sheetView tabSelected="1" topLeftCell="A2" zoomScale="50" workbookViewId="0">
      <selection activeCell="F2" sqref="F2:F252"/>
    </sheetView>
  </sheetViews>
  <sheetFormatPr defaultRowHeight="24" x14ac:dyDescent="0.95"/>
  <cols>
    <col min="1" max="1" width="11.765625" customWidth="1"/>
    <col min="2" max="2" width="15.3046875" customWidth="1"/>
    <col min="3" max="3" width="12.15234375" customWidth="1"/>
    <col min="4" max="4" width="20.921875" customWidth="1"/>
    <col min="5" max="5" width="20.84375" customWidth="1"/>
    <col min="6" max="6" width="12.23046875" customWidth="1"/>
    <col min="7" max="7" width="26.23046875" customWidth="1"/>
    <col min="8" max="8" width="21.69140625" customWidth="1"/>
    <col min="9" max="9" width="27.3828125" customWidth="1"/>
    <col min="10" max="10" width="22.07421875" customWidth="1"/>
    <col min="11" max="11" width="19.3828125" customWidth="1"/>
    <col min="12" max="12" width="23.765625" customWidth="1"/>
  </cols>
  <sheetData>
    <row r="1" spans="1:12" x14ac:dyDescent="0.95">
      <c r="A1" s="1" t="s">
        <v>0</v>
      </c>
      <c r="B1" s="1" t="s">
        <v>1</v>
      </c>
      <c r="C1" s="1" t="s">
        <v>2</v>
      </c>
      <c r="D1" s="1" t="s">
        <v>3</v>
      </c>
      <c r="E1" s="1" t="s">
        <v>4</v>
      </c>
      <c r="F1" s="1" t="s">
        <v>5</v>
      </c>
      <c r="G1" s="1" t="s">
        <v>6</v>
      </c>
      <c r="H1" s="1" t="s">
        <v>7</v>
      </c>
      <c r="I1" s="1" t="s">
        <v>8</v>
      </c>
      <c r="J1" s="1" t="s">
        <v>9</v>
      </c>
      <c r="K1" s="1" t="s">
        <v>10</v>
      </c>
      <c r="L1" s="1" t="s">
        <v>11</v>
      </c>
    </row>
    <row r="2" spans="1:12" x14ac:dyDescent="0.95">
      <c r="A2" s="1">
        <v>1</v>
      </c>
      <c r="B2" s="1" t="s">
        <v>21</v>
      </c>
      <c r="C2" s="1">
        <v>2014</v>
      </c>
      <c r="D2" s="1">
        <v>38632.35</v>
      </c>
      <c r="E2" s="1">
        <v>13.65</v>
      </c>
      <c r="F2" s="1">
        <v>63.78</v>
      </c>
      <c r="G2" s="1">
        <v>22.15</v>
      </c>
      <c r="H2" s="1">
        <v>96.34</v>
      </c>
      <c r="I2" s="1">
        <v>22.48</v>
      </c>
      <c r="J2" s="1">
        <v>71.73</v>
      </c>
      <c r="K2" s="1">
        <v>1337.11</v>
      </c>
      <c r="L2" s="1" t="s">
        <v>13</v>
      </c>
    </row>
    <row r="3" spans="1:12" x14ac:dyDescent="0.95">
      <c r="A3" s="1">
        <v>2</v>
      </c>
      <c r="B3" s="1" t="s">
        <v>25</v>
      </c>
      <c r="C3" s="1">
        <v>2014</v>
      </c>
      <c r="D3" s="1">
        <v>65135.08</v>
      </c>
      <c r="E3" s="1">
        <v>52.91</v>
      </c>
      <c r="F3" s="1">
        <v>50.34</v>
      </c>
      <c r="G3" s="1">
        <v>24.66</v>
      </c>
      <c r="H3" s="1">
        <v>90.36</v>
      </c>
      <c r="I3" s="1">
        <v>5.48</v>
      </c>
      <c r="J3" s="1">
        <v>81.45</v>
      </c>
      <c r="K3" s="1">
        <v>784.35</v>
      </c>
      <c r="L3" s="1" t="s">
        <v>13</v>
      </c>
    </row>
    <row r="4" spans="1:12" x14ac:dyDescent="0.95">
      <c r="A4" s="1">
        <v>3</v>
      </c>
      <c r="B4" s="1" t="s">
        <v>26</v>
      </c>
      <c r="C4" s="1">
        <v>2014</v>
      </c>
      <c r="D4" s="1">
        <v>59265.37</v>
      </c>
      <c r="E4" s="1">
        <v>3.47</v>
      </c>
      <c r="F4" s="1">
        <v>57.58</v>
      </c>
      <c r="G4" s="1">
        <v>9.33</v>
      </c>
      <c r="H4" s="1">
        <v>60.2</v>
      </c>
      <c r="I4" s="1">
        <v>17.72</v>
      </c>
      <c r="J4" s="1">
        <v>72.760000000000005</v>
      </c>
      <c r="K4" s="1">
        <v>1272.95</v>
      </c>
      <c r="L4" s="1" t="s">
        <v>13</v>
      </c>
    </row>
    <row r="5" spans="1:12" x14ac:dyDescent="0.95">
      <c r="A5" s="1">
        <v>4</v>
      </c>
      <c r="B5" s="1" t="s">
        <v>16</v>
      </c>
      <c r="C5" s="1">
        <v>2014</v>
      </c>
      <c r="D5" s="1">
        <v>51666.92</v>
      </c>
      <c r="E5" s="1">
        <v>52.62</v>
      </c>
      <c r="F5" s="1">
        <v>36.28</v>
      </c>
      <c r="G5" s="1">
        <v>6.61</v>
      </c>
      <c r="H5" s="1">
        <v>88.03</v>
      </c>
      <c r="I5" s="1">
        <v>20.36</v>
      </c>
      <c r="J5" s="1">
        <v>84.69</v>
      </c>
      <c r="K5" s="1">
        <v>601.23</v>
      </c>
      <c r="L5" s="1" t="s">
        <v>17</v>
      </c>
    </row>
    <row r="6" spans="1:12" x14ac:dyDescent="0.95">
      <c r="A6" s="1">
        <v>5</v>
      </c>
      <c r="B6" s="1" t="s">
        <v>20</v>
      </c>
      <c r="C6" s="1">
        <v>2014</v>
      </c>
      <c r="D6" s="1">
        <v>65344.81</v>
      </c>
      <c r="E6" s="1">
        <v>56.56</v>
      </c>
      <c r="F6" s="1">
        <v>26.81</v>
      </c>
      <c r="G6" s="1">
        <v>2.69</v>
      </c>
      <c r="H6" s="1">
        <v>71.56</v>
      </c>
      <c r="I6" s="1">
        <v>20.45</v>
      </c>
      <c r="J6" s="1">
        <v>84.58</v>
      </c>
      <c r="K6" s="1">
        <v>222.35</v>
      </c>
      <c r="L6" s="1" t="s">
        <v>15</v>
      </c>
    </row>
    <row r="7" spans="1:12" x14ac:dyDescent="0.95">
      <c r="A7" s="1">
        <v>6</v>
      </c>
      <c r="B7" s="1" t="s">
        <v>34</v>
      </c>
      <c r="C7" s="1">
        <v>2014</v>
      </c>
      <c r="D7" s="1">
        <v>10977.48</v>
      </c>
      <c r="E7" s="1">
        <v>60.38</v>
      </c>
      <c r="F7" s="1">
        <v>44.68</v>
      </c>
      <c r="G7" s="1">
        <v>8.7100000000000009</v>
      </c>
      <c r="H7" s="1">
        <v>75.2</v>
      </c>
      <c r="I7" s="1">
        <v>24.52</v>
      </c>
      <c r="J7" s="1">
        <v>68.260000000000005</v>
      </c>
      <c r="K7" s="1">
        <v>480.05</v>
      </c>
      <c r="L7" s="1" t="s">
        <v>17</v>
      </c>
    </row>
    <row r="8" spans="1:12" x14ac:dyDescent="0.95">
      <c r="A8" s="1">
        <v>7</v>
      </c>
      <c r="B8" s="1" t="s">
        <v>24</v>
      </c>
      <c r="C8" s="1">
        <v>2014</v>
      </c>
      <c r="D8" s="1">
        <v>36208.080000000002</v>
      </c>
      <c r="E8" s="1">
        <v>35.520000000000003</v>
      </c>
      <c r="F8" s="1">
        <v>29.29</v>
      </c>
      <c r="G8" s="1">
        <v>13.63</v>
      </c>
      <c r="H8" s="1">
        <v>78.44</v>
      </c>
      <c r="I8" s="1">
        <v>6.82</v>
      </c>
      <c r="J8" s="1">
        <v>60.89</v>
      </c>
      <c r="K8" s="1">
        <v>550.17999999999995</v>
      </c>
      <c r="L8" s="1" t="s">
        <v>15</v>
      </c>
    </row>
    <row r="9" spans="1:12" x14ac:dyDescent="0.95">
      <c r="A9" s="1">
        <v>8</v>
      </c>
      <c r="B9" s="1" t="s">
        <v>16</v>
      </c>
      <c r="C9" s="1">
        <v>2014</v>
      </c>
      <c r="D9" s="1">
        <v>16869.12</v>
      </c>
      <c r="E9" s="1">
        <v>58.67</v>
      </c>
      <c r="F9" s="1">
        <v>40.36</v>
      </c>
      <c r="G9" s="1">
        <v>16.13</v>
      </c>
      <c r="H9" s="1">
        <v>94.88</v>
      </c>
      <c r="I9" s="1">
        <v>15.98</v>
      </c>
      <c r="J9" s="1">
        <v>55.86</v>
      </c>
      <c r="K9" s="1">
        <v>1363.06</v>
      </c>
      <c r="L9" s="1" t="s">
        <v>17</v>
      </c>
    </row>
    <row r="10" spans="1:12" x14ac:dyDescent="0.95">
      <c r="A10" s="1">
        <v>9</v>
      </c>
      <c r="B10" s="1" t="s">
        <v>27</v>
      </c>
      <c r="C10" s="1">
        <v>2014</v>
      </c>
      <c r="D10" s="1">
        <v>60897.98</v>
      </c>
      <c r="E10" s="1">
        <v>32.71</v>
      </c>
      <c r="F10" s="1">
        <v>60.78</v>
      </c>
      <c r="G10" s="1">
        <v>22.8</v>
      </c>
      <c r="H10" s="1">
        <v>73.709999999999994</v>
      </c>
      <c r="I10" s="1">
        <v>1.54</v>
      </c>
      <c r="J10" s="1">
        <v>60.87</v>
      </c>
      <c r="K10" s="1">
        <v>787.66</v>
      </c>
      <c r="L10" s="1" t="s">
        <v>13</v>
      </c>
    </row>
    <row r="11" spans="1:12" x14ac:dyDescent="0.95">
      <c r="A11" s="1">
        <v>10</v>
      </c>
      <c r="B11" s="1" t="s">
        <v>36</v>
      </c>
      <c r="C11" s="1">
        <v>2014</v>
      </c>
      <c r="D11" s="1">
        <v>38132.800000000003</v>
      </c>
      <c r="E11" s="1">
        <v>51.82</v>
      </c>
      <c r="F11" s="1">
        <v>37.75</v>
      </c>
      <c r="G11" s="1">
        <v>18.27</v>
      </c>
      <c r="H11" s="1">
        <v>93.98</v>
      </c>
      <c r="I11" s="1">
        <v>15.78</v>
      </c>
      <c r="J11" s="1">
        <v>59.69</v>
      </c>
      <c r="K11" s="1">
        <v>40.26</v>
      </c>
      <c r="L11" s="1" t="s">
        <v>17</v>
      </c>
    </row>
    <row r="12" spans="1:12" x14ac:dyDescent="0.95">
      <c r="A12" s="1">
        <v>11</v>
      </c>
      <c r="B12" s="1" t="s">
        <v>30</v>
      </c>
      <c r="C12" s="1">
        <v>2014</v>
      </c>
      <c r="D12" s="1">
        <v>24735.11</v>
      </c>
      <c r="E12" s="1">
        <v>41.12</v>
      </c>
      <c r="F12" s="1">
        <v>26.83</v>
      </c>
      <c r="G12" s="1">
        <v>24.66</v>
      </c>
      <c r="H12" s="1">
        <v>97.83</v>
      </c>
      <c r="I12" s="1">
        <v>24.25</v>
      </c>
      <c r="J12" s="1">
        <v>76.739999999999995</v>
      </c>
      <c r="K12" s="1">
        <v>192.97</v>
      </c>
      <c r="L12" s="1" t="s">
        <v>15</v>
      </c>
    </row>
    <row r="13" spans="1:12" x14ac:dyDescent="0.95">
      <c r="A13" s="1">
        <v>12</v>
      </c>
      <c r="B13" s="1" t="s">
        <v>33</v>
      </c>
      <c r="C13" s="1">
        <v>2014</v>
      </c>
      <c r="D13" s="1">
        <v>54765.69</v>
      </c>
      <c r="E13" s="1">
        <v>4.5</v>
      </c>
      <c r="F13" s="1">
        <v>44.22</v>
      </c>
      <c r="G13" s="1">
        <v>4.7300000000000004</v>
      </c>
      <c r="H13" s="1">
        <v>65.650000000000006</v>
      </c>
      <c r="I13" s="1">
        <v>24.68</v>
      </c>
      <c r="J13" s="1">
        <v>56.7</v>
      </c>
      <c r="K13" s="1">
        <v>725.89</v>
      </c>
      <c r="L13" s="1" t="s">
        <v>17</v>
      </c>
    </row>
    <row r="14" spans="1:12" x14ac:dyDescent="0.95">
      <c r="A14" s="1">
        <v>13</v>
      </c>
      <c r="B14" s="1" t="s">
        <v>35</v>
      </c>
      <c r="C14" s="1">
        <v>2014</v>
      </c>
      <c r="D14" s="1">
        <v>12389.79</v>
      </c>
      <c r="E14" s="1">
        <v>8.59</v>
      </c>
      <c r="F14" s="1">
        <v>50.46</v>
      </c>
      <c r="G14" s="1">
        <v>20.37</v>
      </c>
      <c r="H14" s="1">
        <v>56.39</v>
      </c>
      <c r="I14" s="1">
        <v>23.47</v>
      </c>
      <c r="J14" s="1">
        <v>53.72</v>
      </c>
      <c r="K14" s="1">
        <v>787.17</v>
      </c>
      <c r="L14" s="1" t="s">
        <v>13</v>
      </c>
    </row>
    <row r="15" spans="1:12" x14ac:dyDescent="0.95">
      <c r="A15" s="1">
        <v>14</v>
      </c>
      <c r="B15" s="1" t="s">
        <v>25</v>
      </c>
      <c r="C15" s="1">
        <v>2014</v>
      </c>
      <c r="D15" s="1">
        <v>69594.44</v>
      </c>
      <c r="E15" s="1">
        <v>43.7</v>
      </c>
      <c r="F15" s="1">
        <v>47.31</v>
      </c>
      <c r="G15" s="1">
        <v>21</v>
      </c>
      <c r="H15" s="1">
        <v>75.47</v>
      </c>
      <c r="I15" s="1">
        <v>2.44</v>
      </c>
      <c r="J15" s="1">
        <v>70.56</v>
      </c>
      <c r="K15" s="1">
        <v>1388.77</v>
      </c>
      <c r="L15" s="1" t="s">
        <v>17</v>
      </c>
    </row>
    <row r="16" spans="1:12" x14ac:dyDescent="0.95">
      <c r="A16" s="1">
        <v>15</v>
      </c>
      <c r="B16" s="1" t="s">
        <v>25</v>
      </c>
      <c r="C16" s="1">
        <v>2014</v>
      </c>
      <c r="D16" s="1">
        <v>46811.89</v>
      </c>
      <c r="E16" s="1">
        <v>52.11</v>
      </c>
      <c r="F16" s="1">
        <v>62.09</v>
      </c>
      <c r="G16" s="1">
        <v>8.1</v>
      </c>
      <c r="H16" s="1">
        <v>72.569999999999993</v>
      </c>
      <c r="I16" s="1">
        <v>4.66</v>
      </c>
      <c r="J16" s="1">
        <v>84.75</v>
      </c>
      <c r="K16" s="1">
        <v>1344.52</v>
      </c>
      <c r="L16" s="1" t="s">
        <v>13</v>
      </c>
    </row>
    <row r="17" spans="1:12" x14ac:dyDescent="0.95">
      <c r="A17" s="1">
        <v>16</v>
      </c>
      <c r="B17" s="1" t="s">
        <v>34</v>
      </c>
      <c r="C17" s="1">
        <v>2014</v>
      </c>
      <c r="D17" s="1">
        <v>24750.1</v>
      </c>
      <c r="E17" s="1">
        <v>63.46</v>
      </c>
      <c r="F17" s="1">
        <v>50.64</v>
      </c>
      <c r="G17" s="1">
        <v>23.38</v>
      </c>
      <c r="H17" s="1">
        <v>60.83</v>
      </c>
      <c r="I17" s="1">
        <v>21.69</v>
      </c>
      <c r="J17" s="1">
        <v>82.45</v>
      </c>
      <c r="K17" s="1">
        <v>708.8</v>
      </c>
      <c r="L17" s="1" t="s">
        <v>13</v>
      </c>
    </row>
    <row r="18" spans="1:12" x14ac:dyDescent="0.95">
      <c r="A18" s="1">
        <v>17</v>
      </c>
      <c r="B18" s="1" t="s">
        <v>34</v>
      </c>
      <c r="C18" s="1">
        <v>2014</v>
      </c>
      <c r="D18" s="1">
        <v>31214.21</v>
      </c>
      <c r="E18" s="1">
        <v>8.66</v>
      </c>
      <c r="F18" s="1">
        <v>50.63</v>
      </c>
      <c r="G18" s="1">
        <v>7.62</v>
      </c>
      <c r="H18" s="1">
        <v>82.26</v>
      </c>
      <c r="I18" s="1">
        <v>16.600000000000001</v>
      </c>
      <c r="J18" s="1">
        <v>57.02</v>
      </c>
      <c r="K18" s="1">
        <v>93.65</v>
      </c>
      <c r="L18" s="1" t="s">
        <v>13</v>
      </c>
    </row>
    <row r="19" spans="1:12" x14ac:dyDescent="0.95">
      <c r="A19" s="1">
        <v>18</v>
      </c>
      <c r="B19" s="1" t="s">
        <v>31</v>
      </c>
      <c r="C19" s="1">
        <v>2014</v>
      </c>
      <c r="D19" s="1">
        <v>29597.86</v>
      </c>
      <c r="E19" s="1">
        <v>32.32</v>
      </c>
      <c r="F19" s="1">
        <v>25.77</v>
      </c>
      <c r="G19" s="1">
        <v>8.76</v>
      </c>
      <c r="H19" s="1">
        <v>88.45</v>
      </c>
      <c r="I19" s="1">
        <v>4.29</v>
      </c>
      <c r="J19" s="1">
        <v>69.67</v>
      </c>
      <c r="K19" s="1">
        <v>315.97000000000003</v>
      </c>
      <c r="L19" s="1" t="s">
        <v>15</v>
      </c>
    </row>
    <row r="20" spans="1:12" x14ac:dyDescent="0.95">
      <c r="A20" s="1">
        <v>19</v>
      </c>
      <c r="B20" s="1" t="s">
        <v>30</v>
      </c>
      <c r="C20" s="1">
        <v>2014</v>
      </c>
      <c r="D20" s="1">
        <v>53048.9</v>
      </c>
      <c r="E20" s="1">
        <v>31.01</v>
      </c>
      <c r="F20" s="1">
        <v>58.68</v>
      </c>
      <c r="G20" s="1">
        <v>20.94</v>
      </c>
      <c r="H20" s="1">
        <v>89.16</v>
      </c>
      <c r="I20" s="1">
        <v>16.75</v>
      </c>
      <c r="J20" s="1">
        <v>57.86</v>
      </c>
      <c r="K20" s="1">
        <v>792.56</v>
      </c>
      <c r="L20" s="1" t="s">
        <v>13</v>
      </c>
    </row>
    <row r="21" spans="1:12" x14ac:dyDescent="0.95">
      <c r="A21" s="1">
        <v>20</v>
      </c>
      <c r="B21" s="1" t="s">
        <v>28</v>
      </c>
      <c r="C21" s="1">
        <v>2014</v>
      </c>
      <c r="D21" s="1">
        <v>55372.160000000003</v>
      </c>
      <c r="E21" s="1">
        <v>34.590000000000003</v>
      </c>
      <c r="F21" s="1">
        <v>42.61</v>
      </c>
      <c r="G21" s="1">
        <v>5.83</v>
      </c>
      <c r="H21" s="1">
        <v>69.44</v>
      </c>
      <c r="I21" s="1">
        <v>11.42</v>
      </c>
      <c r="J21" s="1">
        <v>54.92</v>
      </c>
      <c r="K21" s="1">
        <v>323.77999999999997</v>
      </c>
      <c r="L21" s="1" t="s">
        <v>17</v>
      </c>
    </row>
    <row r="22" spans="1:12" x14ac:dyDescent="0.95">
      <c r="A22" s="1">
        <v>21</v>
      </c>
      <c r="B22" s="1" t="s">
        <v>25</v>
      </c>
      <c r="C22" s="1">
        <v>2014</v>
      </c>
      <c r="D22" s="1">
        <v>23948.18</v>
      </c>
      <c r="E22" s="1">
        <v>3.65</v>
      </c>
      <c r="F22" s="1">
        <v>25.97</v>
      </c>
      <c r="G22" s="1">
        <v>23.62</v>
      </c>
      <c r="H22" s="1">
        <v>67.02</v>
      </c>
      <c r="I22" s="1">
        <v>13.43</v>
      </c>
      <c r="J22" s="1">
        <v>61.86</v>
      </c>
      <c r="K22" s="1">
        <v>1364.28</v>
      </c>
      <c r="L22" s="1" t="s">
        <v>15</v>
      </c>
    </row>
    <row r="23" spans="1:12" x14ac:dyDescent="0.95">
      <c r="A23" s="1">
        <v>22</v>
      </c>
      <c r="B23" s="1" t="s">
        <v>12</v>
      </c>
      <c r="C23" s="1">
        <v>2015</v>
      </c>
      <c r="D23" s="1">
        <v>26718.18</v>
      </c>
      <c r="E23" s="1">
        <v>61.9</v>
      </c>
      <c r="F23" s="1">
        <v>54.28</v>
      </c>
      <c r="G23" s="1">
        <v>17.57</v>
      </c>
      <c r="H23" s="1">
        <v>61.86</v>
      </c>
      <c r="I23" s="1">
        <v>4.74</v>
      </c>
      <c r="J23" s="1">
        <v>53.92</v>
      </c>
      <c r="K23" s="1">
        <v>1256.6199999999999</v>
      </c>
      <c r="L23" s="1" t="s">
        <v>13</v>
      </c>
    </row>
    <row r="24" spans="1:12" x14ac:dyDescent="0.95">
      <c r="A24" s="1">
        <v>23</v>
      </c>
      <c r="B24" s="1" t="s">
        <v>18</v>
      </c>
      <c r="C24" s="1">
        <v>2015</v>
      </c>
      <c r="D24" s="1">
        <v>32360.04</v>
      </c>
      <c r="E24" s="1">
        <v>51.47</v>
      </c>
      <c r="F24" s="1">
        <v>32.99</v>
      </c>
      <c r="G24" s="1">
        <v>15.37</v>
      </c>
      <c r="H24" s="1">
        <v>81.069999999999993</v>
      </c>
      <c r="I24" s="1">
        <v>2.11</v>
      </c>
      <c r="J24" s="1">
        <v>72.05</v>
      </c>
      <c r="K24" s="1">
        <v>251.41</v>
      </c>
      <c r="L24" s="1" t="s">
        <v>15</v>
      </c>
    </row>
    <row r="25" spans="1:12" x14ac:dyDescent="0.95">
      <c r="A25" s="1">
        <v>24</v>
      </c>
      <c r="B25" s="1" t="s">
        <v>14</v>
      </c>
      <c r="C25" s="1">
        <v>2015</v>
      </c>
      <c r="D25" s="1">
        <v>6923.68</v>
      </c>
      <c r="E25" s="1">
        <v>14.35</v>
      </c>
      <c r="F25" s="1">
        <v>26.81</v>
      </c>
      <c r="G25" s="1">
        <v>10.46</v>
      </c>
      <c r="H25" s="1">
        <v>72.099999999999994</v>
      </c>
      <c r="I25" s="1">
        <v>7.51</v>
      </c>
      <c r="J25" s="1">
        <v>79.349999999999994</v>
      </c>
      <c r="K25" s="1">
        <v>520.51</v>
      </c>
      <c r="L25" s="1" t="s">
        <v>15</v>
      </c>
    </row>
    <row r="26" spans="1:12" x14ac:dyDescent="0.95">
      <c r="A26" s="1">
        <v>25</v>
      </c>
      <c r="B26" s="1" t="s">
        <v>29</v>
      </c>
      <c r="C26" s="1">
        <v>2015</v>
      </c>
      <c r="D26" s="1">
        <v>26250.59</v>
      </c>
      <c r="E26" s="1">
        <v>41.84</v>
      </c>
      <c r="F26" s="1">
        <v>50.34</v>
      </c>
      <c r="G26" s="1">
        <v>15.93</v>
      </c>
      <c r="H26" s="1">
        <v>58.97</v>
      </c>
      <c r="I26" s="1">
        <v>21.05</v>
      </c>
      <c r="J26" s="1">
        <v>62.59</v>
      </c>
      <c r="K26" s="1">
        <v>274.52</v>
      </c>
      <c r="L26" s="1" t="s">
        <v>13</v>
      </c>
    </row>
    <row r="27" spans="1:12" x14ac:dyDescent="0.95">
      <c r="A27" s="1">
        <v>26</v>
      </c>
      <c r="B27" s="1" t="s">
        <v>30</v>
      </c>
      <c r="C27" s="1">
        <v>2015</v>
      </c>
      <c r="D27" s="1">
        <v>3621.64</v>
      </c>
      <c r="E27" s="1">
        <v>39.229999999999997</v>
      </c>
      <c r="F27" s="1">
        <v>52.1</v>
      </c>
      <c r="G27" s="1">
        <v>2.4300000000000002</v>
      </c>
      <c r="H27" s="1">
        <v>77.53</v>
      </c>
      <c r="I27" s="1">
        <v>6.44</v>
      </c>
      <c r="J27" s="1">
        <v>73.290000000000006</v>
      </c>
      <c r="K27" s="1">
        <v>256.95999999999998</v>
      </c>
      <c r="L27" s="1" t="s">
        <v>13</v>
      </c>
    </row>
    <row r="28" spans="1:12" x14ac:dyDescent="0.95">
      <c r="A28" s="1">
        <v>27</v>
      </c>
      <c r="B28" s="1" t="s">
        <v>34</v>
      </c>
      <c r="C28" s="1">
        <v>2015</v>
      </c>
      <c r="D28" s="1">
        <v>45228.59</v>
      </c>
      <c r="E28" s="1">
        <v>7.3</v>
      </c>
      <c r="F28" s="1">
        <v>31.47</v>
      </c>
      <c r="G28" s="1">
        <v>25.36</v>
      </c>
      <c r="H28" s="1">
        <v>81.680000000000007</v>
      </c>
      <c r="I28" s="1">
        <v>1.22</v>
      </c>
      <c r="J28" s="1">
        <v>55.35</v>
      </c>
      <c r="K28" s="1">
        <v>963.76</v>
      </c>
      <c r="L28" s="1" t="s">
        <v>15</v>
      </c>
    </row>
    <row r="29" spans="1:12" x14ac:dyDescent="0.95">
      <c r="A29" s="1">
        <v>28</v>
      </c>
      <c r="B29" s="1" t="s">
        <v>30</v>
      </c>
      <c r="C29" s="1">
        <v>2015</v>
      </c>
      <c r="D29" s="1">
        <v>1150.26</v>
      </c>
      <c r="E29" s="1">
        <v>12.13</v>
      </c>
      <c r="F29" s="1">
        <v>46.95</v>
      </c>
      <c r="G29" s="1">
        <v>19.989999999999998</v>
      </c>
      <c r="H29" s="1">
        <v>83.69</v>
      </c>
      <c r="I29" s="1">
        <v>6.38</v>
      </c>
      <c r="J29" s="1">
        <v>75.5</v>
      </c>
      <c r="K29" s="1">
        <v>347.82</v>
      </c>
      <c r="L29" s="1" t="s">
        <v>17</v>
      </c>
    </row>
    <row r="30" spans="1:12" x14ac:dyDescent="0.95">
      <c r="A30" s="1">
        <v>29</v>
      </c>
      <c r="B30" s="1" t="s">
        <v>22</v>
      </c>
      <c r="C30" s="1">
        <v>2015</v>
      </c>
      <c r="D30" s="1">
        <v>65879.73</v>
      </c>
      <c r="E30" s="1">
        <v>62.1</v>
      </c>
      <c r="F30" s="1">
        <v>61.59</v>
      </c>
      <c r="G30" s="1">
        <v>11.62</v>
      </c>
      <c r="H30" s="1">
        <v>55.68</v>
      </c>
      <c r="I30" s="1">
        <v>23.28</v>
      </c>
      <c r="J30" s="1">
        <v>66.13</v>
      </c>
      <c r="K30" s="1">
        <v>1401.82</v>
      </c>
      <c r="L30" s="1" t="s">
        <v>13</v>
      </c>
    </row>
    <row r="31" spans="1:12" x14ac:dyDescent="0.95">
      <c r="A31" s="1">
        <v>30</v>
      </c>
      <c r="B31" s="1" t="s">
        <v>27</v>
      </c>
      <c r="C31" s="1">
        <v>2015</v>
      </c>
      <c r="D31" s="1">
        <v>38806.49</v>
      </c>
      <c r="E31" s="1">
        <v>47.02</v>
      </c>
      <c r="F31" s="1">
        <v>51.41</v>
      </c>
      <c r="G31" s="1">
        <v>9.2799999999999994</v>
      </c>
      <c r="H31" s="1">
        <v>97.01</v>
      </c>
      <c r="I31" s="1">
        <v>18.71</v>
      </c>
      <c r="J31" s="1">
        <v>70.290000000000006</v>
      </c>
      <c r="K31" s="1">
        <v>888.94</v>
      </c>
      <c r="L31" s="1" t="s">
        <v>13</v>
      </c>
    </row>
    <row r="32" spans="1:12" x14ac:dyDescent="0.95">
      <c r="A32" s="1">
        <v>31</v>
      </c>
      <c r="B32" s="1" t="s">
        <v>25</v>
      </c>
      <c r="C32" s="1">
        <v>2015</v>
      </c>
      <c r="D32" s="1">
        <v>7936.17</v>
      </c>
      <c r="E32" s="1">
        <v>58.86</v>
      </c>
      <c r="F32" s="1">
        <v>45.21</v>
      </c>
      <c r="G32" s="1">
        <v>23.49</v>
      </c>
      <c r="H32" s="1">
        <v>69.08</v>
      </c>
      <c r="I32" s="1">
        <v>22.49</v>
      </c>
      <c r="J32" s="1">
        <v>64.84</v>
      </c>
      <c r="K32" s="1">
        <v>20.66</v>
      </c>
      <c r="L32" s="1" t="s">
        <v>17</v>
      </c>
    </row>
    <row r="33" spans="1:12" x14ac:dyDescent="0.95">
      <c r="A33" s="1">
        <v>32</v>
      </c>
      <c r="B33" s="1" t="s">
        <v>32</v>
      </c>
      <c r="C33" s="1">
        <v>2015</v>
      </c>
      <c r="D33" s="1">
        <v>43574.47</v>
      </c>
      <c r="E33" s="1">
        <v>24.56</v>
      </c>
      <c r="F33" s="1">
        <v>29.54</v>
      </c>
      <c r="G33" s="1">
        <v>19.46</v>
      </c>
      <c r="H33" s="1">
        <v>77.89</v>
      </c>
      <c r="I33" s="1">
        <v>19.54</v>
      </c>
      <c r="J33" s="1">
        <v>69.17</v>
      </c>
      <c r="K33" s="1">
        <v>1236.4000000000001</v>
      </c>
      <c r="L33" s="1" t="s">
        <v>15</v>
      </c>
    </row>
    <row r="34" spans="1:12" x14ac:dyDescent="0.95">
      <c r="A34" s="1">
        <v>33</v>
      </c>
      <c r="B34" s="1" t="s">
        <v>19</v>
      </c>
      <c r="C34" s="1">
        <v>2015</v>
      </c>
      <c r="D34" s="1">
        <v>44631.34</v>
      </c>
      <c r="E34" s="1">
        <v>17.13</v>
      </c>
      <c r="F34" s="1">
        <v>28.03</v>
      </c>
      <c r="G34" s="1">
        <v>5.35</v>
      </c>
      <c r="H34" s="1">
        <v>60.63</v>
      </c>
      <c r="I34" s="1">
        <v>4.6500000000000004</v>
      </c>
      <c r="J34" s="1">
        <v>56.58</v>
      </c>
      <c r="K34" s="1">
        <v>931.06</v>
      </c>
      <c r="L34" s="1" t="s">
        <v>15</v>
      </c>
    </row>
    <row r="35" spans="1:12" x14ac:dyDescent="0.95">
      <c r="A35" s="1">
        <v>34</v>
      </c>
      <c r="B35" s="1" t="s">
        <v>23</v>
      </c>
      <c r="C35" s="1">
        <v>2015</v>
      </c>
      <c r="D35" s="1">
        <v>20437.29</v>
      </c>
      <c r="E35" s="1">
        <v>24.87</v>
      </c>
      <c r="F35" s="1">
        <v>50.84</v>
      </c>
      <c r="G35" s="1">
        <v>16.84</v>
      </c>
      <c r="H35" s="1">
        <v>70.67</v>
      </c>
      <c r="I35" s="1">
        <v>24.68</v>
      </c>
      <c r="J35" s="1">
        <v>71.989999999999995</v>
      </c>
      <c r="K35" s="1">
        <v>347.79</v>
      </c>
      <c r="L35" s="1" t="s">
        <v>13</v>
      </c>
    </row>
    <row r="36" spans="1:12" x14ac:dyDescent="0.95">
      <c r="A36" s="1">
        <v>35</v>
      </c>
      <c r="B36" s="1" t="s">
        <v>14</v>
      </c>
      <c r="C36" s="1">
        <v>2015</v>
      </c>
      <c r="D36" s="1">
        <v>14752.61</v>
      </c>
      <c r="E36" s="1">
        <v>12.31</v>
      </c>
      <c r="F36" s="1">
        <v>31.57</v>
      </c>
      <c r="G36" s="1">
        <v>23.18</v>
      </c>
      <c r="H36" s="1">
        <v>84.27</v>
      </c>
      <c r="I36" s="1">
        <v>13.55</v>
      </c>
      <c r="J36" s="1">
        <v>63.84</v>
      </c>
      <c r="K36" s="1">
        <v>1272.55</v>
      </c>
      <c r="L36" s="1" t="s">
        <v>15</v>
      </c>
    </row>
    <row r="37" spans="1:12" x14ac:dyDescent="0.95">
      <c r="A37" s="1">
        <v>36</v>
      </c>
      <c r="B37" s="1" t="s">
        <v>20</v>
      </c>
      <c r="C37" s="1">
        <v>2015</v>
      </c>
      <c r="D37" s="1">
        <v>11295.9</v>
      </c>
      <c r="E37" s="1">
        <v>21.64</v>
      </c>
      <c r="F37" s="1">
        <v>34.94</v>
      </c>
      <c r="G37" s="1">
        <v>21.34</v>
      </c>
      <c r="H37" s="1">
        <v>56.48</v>
      </c>
      <c r="I37" s="1">
        <v>14.68</v>
      </c>
      <c r="J37" s="1">
        <v>77.16</v>
      </c>
      <c r="K37" s="1">
        <v>1271.93</v>
      </c>
      <c r="L37" s="1" t="s">
        <v>15</v>
      </c>
    </row>
    <row r="38" spans="1:12" x14ac:dyDescent="0.95">
      <c r="A38" s="1">
        <v>37</v>
      </c>
      <c r="B38" s="1" t="s">
        <v>24</v>
      </c>
      <c r="C38" s="1">
        <v>2015</v>
      </c>
      <c r="D38" s="1">
        <v>28532.799999999999</v>
      </c>
      <c r="E38" s="1">
        <v>37.26</v>
      </c>
      <c r="F38" s="1">
        <v>31.21</v>
      </c>
      <c r="G38" s="1">
        <v>6.73</v>
      </c>
      <c r="H38" s="1">
        <v>92.92</v>
      </c>
      <c r="I38" s="1">
        <v>23.71</v>
      </c>
      <c r="J38" s="1">
        <v>64.319999999999993</v>
      </c>
      <c r="K38" s="1">
        <v>396.23</v>
      </c>
      <c r="L38" s="1" t="s">
        <v>15</v>
      </c>
    </row>
    <row r="39" spans="1:12" x14ac:dyDescent="0.95">
      <c r="A39" s="1">
        <v>38</v>
      </c>
      <c r="B39" s="1" t="s">
        <v>14</v>
      </c>
      <c r="C39" s="1">
        <v>2015</v>
      </c>
      <c r="D39" s="1">
        <v>43991.1</v>
      </c>
      <c r="E39" s="1">
        <v>27.79</v>
      </c>
      <c r="F39" s="1">
        <v>47.08</v>
      </c>
      <c r="G39" s="1">
        <v>13.34</v>
      </c>
      <c r="H39" s="1">
        <v>67.959999999999994</v>
      </c>
      <c r="I39" s="1">
        <v>23.76</v>
      </c>
      <c r="J39" s="1">
        <v>77.2</v>
      </c>
      <c r="K39" s="1">
        <v>207.46</v>
      </c>
      <c r="L39" s="1" t="s">
        <v>17</v>
      </c>
    </row>
    <row r="40" spans="1:12" x14ac:dyDescent="0.95">
      <c r="A40" s="1">
        <v>39</v>
      </c>
      <c r="B40" s="1" t="s">
        <v>16</v>
      </c>
      <c r="C40" s="1">
        <v>2015</v>
      </c>
      <c r="D40" s="1">
        <v>44636.69</v>
      </c>
      <c r="E40" s="1">
        <v>18.25</v>
      </c>
      <c r="F40" s="1">
        <v>30.57</v>
      </c>
      <c r="G40" s="1">
        <v>23.71</v>
      </c>
      <c r="H40" s="1">
        <v>98.31</v>
      </c>
      <c r="I40" s="1">
        <v>13.62</v>
      </c>
      <c r="J40" s="1">
        <v>57.67</v>
      </c>
      <c r="K40" s="1">
        <v>398.48</v>
      </c>
      <c r="L40" s="1" t="s">
        <v>15</v>
      </c>
    </row>
    <row r="41" spans="1:12" x14ac:dyDescent="0.95">
      <c r="A41" s="1">
        <v>40</v>
      </c>
      <c r="B41" s="1" t="s">
        <v>29</v>
      </c>
      <c r="C41" s="1">
        <v>2015</v>
      </c>
      <c r="D41" s="1">
        <v>18077.03</v>
      </c>
      <c r="E41" s="1">
        <v>32.83</v>
      </c>
      <c r="F41" s="1">
        <v>33.85</v>
      </c>
      <c r="G41" s="1">
        <v>27.68</v>
      </c>
      <c r="H41" s="1">
        <v>96.54</v>
      </c>
      <c r="I41" s="1">
        <v>1.95</v>
      </c>
      <c r="J41" s="1">
        <v>75.28</v>
      </c>
      <c r="K41" s="1">
        <v>1341.98</v>
      </c>
      <c r="L41" s="1" t="s">
        <v>15</v>
      </c>
    </row>
    <row r="42" spans="1:12" x14ac:dyDescent="0.95">
      <c r="A42" s="1">
        <v>41</v>
      </c>
      <c r="B42" s="1" t="s">
        <v>19</v>
      </c>
      <c r="C42" s="1">
        <v>2015</v>
      </c>
      <c r="D42" s="1">
        <v>61010.84</v>
      </c>
      <c r="E42" s="1">
        <v>3.34</v>
      </c>
      <c r="F42" s="1">
        <v>59.99</v>
      </c>
      <c r="G42" s="1">
        <v>15.75</v>
      </c>
      <c r="H42" s="1">
        <v>96.32</v>
      </c>
      <c r="I42" s="1">
        <v>20.170000000000002</v>
      </c>
      <c r="J42" s="1">
        <v>84.93</v>
      </c>
      <c r="K42" s="1">
        <v>511.78</v>
      </c>
      <c r="L42" s="1" t="s">
        <v>13</v>
      </c>
    </row>
    <row r="43" spans="1:12" x14ac:dyDescent="0.95">
      <c r="A43" s="1">
        <v>42</v>
      </c>
      <c r="B43" s="1" t="s">
        <v>34</v>
      </c>
      <c r="C43" s="1">
        <v>2015</v>
      </c>
      <c r="D43" s="1">
        <v>26590.05</v>
      </c>
      <c r="E43" s="1">
        <v>18.36</v>
      </c>
      <c r="F43" s="1">
        <v>53.94</v>
      </c>
      <c r="G43" s="1">
        <v>14.89</v>
      </c>
      <c r="H43" s="1">
        <v>58.57</v>
      </c>
      <c r="I43" s="1">
        <v>6.28</v>
      </c>
      <c r="J43" s="1">
        <v>74.55</v>
      </c>
      <c r="K43" s="1">
        <v>115.01</v>
      </c>
      <c r="L43" s="1" t="s">
        <v>13</v>
      </c>
    </row>
    <row r="44" spans="1:12" x14ac:dyDescent="0.95">
      <c r="A44" s="1">
        <v>43</v>
      </c>
      <c r="B44" s="1" t="s">
        <v>14</v>
      </c>
      <c r="C44" s="1">
        <v>2015</v>
      </c>
      <c r="D44" s="1">
        <v>19278.36</v>
      </c>
      <c r="E44" s="1">
        <v>57.35</v>
      </c>
      <c r="F44" s="1">
        <v>56.9</v>
      </c>
      <c r="G44" s="1">
        <v>19.12</v>
      </c>
      <c r="H44" s="1">
        <v>92.43</v>
      </c>
      <c r="I44" s="1">
        <v>21.82</v>
      </c>
      <c r="J44" s="1">
        <v>75.38</v>
      </c>
      <c r="K44" s="1">
        <v>1214.48</v>
      </c>
      <c r="L44" s="1" t="s">
        <v>13</v>
      </c>
    </row>
    <row r="45" spans="1:12" x14ac:dyDescent="0.95">
      <c r="A45" s="1">
        <v>44</v>
      </c>
      <c r="B45" s="1" t="s">
        <v>23</v>
      </c>
      <c r="C45" s="1">
        <v>2015</v>
      </c>
      <c r="D45" s="1">
        <v>49866.99</v>
      </c>
      <c r="E45" s="1">
        <v>56.87</v>
      </c>
      <c r="F45" s="1">
        <v>53.56</v>
      </c>
      <c r="G45" s="1">
        <v>22.84</v>
      </c>
      <c r="H45" s="1">
        <v>69.94</v>
      </c>
      <c r="I45" s="1">
        <v>20.56</v>
      </c>
      <c r="J45" s="1">
        <v>54.64</v>
      </c>
      <c r="K45" s="1">
        <v>1298.01</v>
      </c>
      <c r="L45" s="1" t="s">
        <v>13</v>
      </c>
    </row>
    <row r="46" spans="1:12" x14ac:dyDescent="0.95">
      <c r="A46" s="1">
        <v>45</v>
      </c>
      <c r="B46" s="1" t="s">
        <v>35</v>
      </c>
      <c r="C46" s="1">
        <v>2015</v>
      </c>
      <c r="D46" s="1">
        <v>38693.39</v>
      </c>
      <c r="E46" s="1">
        <v>53.49</v>
      </c>
      <c r="F46" s="1">
        <v>43.09</v>
      </c>
      <c r="G46" s="1">
        <v>18.73</v>
      </c>
      <c r="H46" s="1">
        <v>78.16</v>
      </c>
      <c r="I46" s="1">
        <v>18.559999999999999</v>
      </c>
      <c r="J46" s="1">
        <v>54.69</v>
      </c>
      <c r="K46" s="1">
        <v>92.21</v>
      </c>
      <c r="L46" s="1" t="s">
        <v>17</v>
      </c>
    </row>
    <row r="47" spans="1:12" x14ac:dyDescent="0.95">
      <c r="A47" s="1">
        <v>46</v>
      </c>
      <c r="B47" s="1" t="s">
        <v>32</v>
      </c>
      <c r="C47" s="1">
        <v>2015</v>
      </c>
      <c r="D47" s="1">
        <v>17899.54</v>
      </c>
      <c r="E47" s="1">
        <v>12.05</v>
      </c>
      <c r="F47" s="1">
        <v>59.87</v>
      </c>
      <c r="G47" s="1">
        <v>7.7</v>
      </c>
      <c r="H47" s="1">
        <v>97.94</v>
      </c>
      <c r="I47" s="1">
        <v>9.09</v>
      </c>
      <c r="J47" s="1">
        <v>58.01</v>
      </c>
      <c r="K47" s="1">
        <v>1146.1099999999999</v>
      </c>
      <c r="L47" s="1" t="s">
        <v>13</v>
      </c>
    </row>
    <row r="48" spans="1:12" x14ac:dyDescent="0.95">
      <c r="A48" s="1">
        <v>47</v>
      </c>
      <c r="B48" s="1" t="s">
        <v>30</v>
      </c>
      <c r="C48" s="1">
        <v>2015</v>
      </c>
      <c r="D48" s="1">
        <v>14608.34</v>
      </c>
      <c r="E48" s="1">
        <v>44.85</v>
      </c>
      <c r="F48" s="1">
        <v>27.89</v>
      </c>
      <c r="G48" s="1">
        <v>2.8</v>
      </c>
      <c r="H48" s="1">
        <v>66.34</v>
      </c>
      <c r="I48" s="1">
        <v>12.1</v>
      </c>
      <c r="J48" s="1">
        <v>80.650000000000006</v>
      </c>
      <c r="K48" s="1">
        <v>1055.76</v>
      </c>
      <c r="L48" s="1" t="s">
        <v>15</v>
      </c>
    </row>
    <row r="49" spans="1:12" x14ac:dyDescent="0.95">
      <c r="A49" s="1">
        <v>48</v>
      </c>
      <c r="B49" s="1" t="s">
        <v>26</v>
      </c>
      <c r="C49" s="1">
        <v>2015</v>
      </c>
      <c r="D49" s="1">
        <v>67917.91</v>
      </c>
      <c r="E49" s="1">
        <v>7.92</v>
      </c>
      <c r="F49" s="1">
        <v>51.9</v>
      </c>
      <c r="G49" s="1">
        <v>13.54</v>
      </c>
      <c r="H49" s="1">
        <v>93.2</v>
      </c>
      <c r="I49" s="1">
        <v>5.25</v>
      </c>
      <c r="J49" s="1">
        <v>74.86</v>
      </c>
      <c r="K49" s="1">
        <v>1216.08</v>
      </c>
      <c r="L49" s="1" t="s">
        <v>13</v>
      </c>
    </row>
    <row r="50" spans="1:12" x14ac:dyDescent="0.95">
      <c r="A50" s="1">
        <v>49</v>
      </c>
      <c r="B50" s="1" t="s">
        <v>29</v>
      </c>
      <c r="C50" s="1">
        <v>2015</v>
      </c>
      <c r="D50" s="1">
        <v>69959.429999999993</v>
      </c>
      <c r="E50" s="1">
        <v>5.04</v>
      </c>
      <c r="F50" s="1">
        <v>64.09</v>
      </c>
      <c r="G50" s="1">
        <v>12.58</v>
      </c>
      <c r="H50" s="1">
        <v>93.31</v>
      </c>
      <c r="I50" s="1">
        <v>19.78</v>
      </c>
      <c r="J50" s="1">
        <v>70.709999999999994</v>
      </c>
      <c r="K50" s="1">
        <v>1072.06</v>
      </c>
      <c r="L50" s="1" t="s">
        <v>13</v>
      </c>
    </row>
    <row r="51" spans="1:12" x14ac:dyDescent="0.95">
      <c r="A51" s="1">
        <v>50</v>
      </c>
      <c r="B51" s="1" t="s">
        <v>39</v>
      </c>
      <c r="C51" s="1">
        <v>2015</v>
      </c>
      <c r="D51" s="1">
        <v>67434.539999999994</v>
      </c>
      <c r="E51" s="1">
        <v>32.46</v>
      </c>
      <c r="F51" s="1">
        <v>57.24</v>
      </c>
      <c r="G51" s="1">
        <v>16.309999999999999</v>
      </c>
      <c r="H51" s="1">
        <v>56.91</v>
      </c>
      <c r="I51" s="1">
        <v>16.2</v>
      </c>
      <c r="J51" s="1">
        <v>83.4</v>
      </c>
      <c r="K51" s="1">
        <v>874.33</v>
      </c>
      <c r="L51" s="1" t="s">
        <v>13</v>
      </c>
    </row>
    <row r="52" spans="1:12" x14ac:dyDescent="0.95">
      <c r="A52" s="1">
        <v>51</v>
      </c>
      <c r="B52" s="1" t="s">
        <v>29</v>
      </c>
      <c r="C52" s="1">
        <v>2015</v>
      </c>
      <c r="D52" s="1">
        <v>25256.76</v>
      </c>
      <c r="E52" s="1">
        <v>16.920000000000002</v>
      </c>
      <c r="F52" s="1">
        <v>56.22</v>
      </c>
      <c r="G52" s="1">
        <v>9.14</v>
      </c>
      <c r="H52" s="1">
        <v>91.2</v>
      </c>
      <c r="I52" s="1">
        <v>11.17</v>
      </c>
      <c r="J52" s="1">
        <v>74.03</v>
      </c>
      <c r="K52" s="1">
        <v>143.05000000000001</v>
      </c>
      <c r="L52" s="1" t="s">
        <v>13</v>
      </c>
    </row>
    <row r="53" spans="1:12" x14ac:dyDescent="0.95">
      <c r="A53" s="1">
        <v>52</v>
      </c>
      <c r="B53" s="1" t="s">
        <v>29</v>
      </c>
      <c r="C53" s="1">
        <v>2015</v>
      </c>
      <c r="D53" s="1">
        <v>42752.7</v>
      </c>
      <c r="E53" s="1">
        <v>50.18</v>
      </c>
      <c r="F53" s="1">
        <v>31.99</v>
      </c>
      <c r="G53" s="1">
        <v>15.07</v>
      </c>
      <c r="H53" s="1">
        <v>72.540000000000006</v>
      </c>
      <c r="I53" s="1">
        <v>4.51</v>
      </c>
      <c r="J53" s="1">
        <v>64.13</v>
      </c>
      <c r="K53" s="1">
        <v>103.51</v>
      </c>
      <c r="L53" s="1" t="s">
        <v>15</v>
      </c>
    </row>
    <row r="54" spans="1:12" x14ac:dyDescent="0.95">
      <c r="A54" s="1">
        <v>53</v>
      </c>
      <c r="B54" s="1" t="s">
        <v>19</v>
      </c>
      <c r="C54" s="1">
        <v>2015</v>
      </c>
      <c r="D54" s="1">
        <v>26811.47</v>
      </c>
      <c r="E54" s="1">
        <v>26.85</v>
      </c>
      <c r="F54" s="1">
        <v>43.38</v>
      </c>
      <c r="G54" s="1">
        <v>22.41</v>
      </c>
      <c r="H54" s="1">
        <v>94.25</v>
      </c>
      <c r="I54" s="1">
        <v>23.93</v>
      </c>
      <c r="J54" s="1">
        <v>77.97</v>
      </c>
      <c r="K54" s="1">
        <v>460.76</v>
      </c>
      <c r="L54" s="1" t="s">
        <v>17</v>
      </c>
    </row>
    <row r="55" spans="1:12" x14ac:dyDescent="0.95">
      <c r="A55" s="1">
        <v>54</v>
      </c>
      <c r="B55" s="1" t="s">
        <v>27</v>
      </c>
      <c r="C55" s="1">
        <v>2015</v>
      </c>
      <c r="D55" s="1">
        <v>62175.199999999997</v>
      </c>
      <c r="E55" s="1">
        <v>42.69</v>
      </c>
      <c r="F55" s="1">
        <v>36.44</v>
      </c>
      <c r="G55" s="1">
        <v>23.21</v>
      </c>
      <c r="H55" s="1">
        <v>92.9</v>
      </c>
      <c r="I55" s="1">
        <v>21.32</v>
      </c>
      <c r="J55" s="1">
        <v>82.32</v>
      </c>
      <c r="K55" s="1">
        <v>369.49</v>
      </c>
      <c r="L55" s="1" t="s">
        <v>17</v>
      </c>
    </row>
    <row r="56" spans="1:12" x14ac:dyDescent="0.95">
      <c r="A56" s="1">
        <v>55</v>
      </c>
      <c r="B56" s="1" t="s">
        <v>25</v>
      </c>
      <c r="C56" s="1">
        <v>2015</v>
      </c>
      <c r="D56" s="1">
        <v>69746.34</v>
      </c>
      <c r="E56" s="1">
        <v>25.2</v>
      </c>
      <c r="F56" s="1">
        <v>42.94</v>
      </c>
      <c r="G56" s="1">
        <v>20.77</v>
      </c>
      <c r="H56" s="1">
        <v>93.99</v>
      </c>
      <c r="I56" s="1">
        <v>15.23</v>
      </c>
      <c r="J56" s="1">
        <v>64.92</v>
      </c>
      <c r="K56" s="1">
        <v>601.24</v>
      </c>
      <c r="L56" s="1" t="s">
        <v>17</v>
      </c>
    </row>
    <row r="57" spans="1:12" x14ac:dyDescent="0.95">
      <c r="A57" s="1">
        <v>56</v>
      </c>
      <c r="B57" s="1" t="s">
        <v>26</v>
      </c>
      <c r="C57" s="1">
        <v>2016</v>
      </c>
      <c r="D57" s="1">
        <v>56674.86</v>
      </c>
      <c r="E57" s="1">
        <v>58.45</v>
      </c>
      <c r="F57" s="1">
        <v>37.72</v>
      </c>
      <c r="G57" s="1">
        <v>4.8600000000000003</v>
      </c>
      <c r="H57" s="1">
        <v>65.03</v>
      </c>
      <c r="I57" s="1">
        <v>11.25</v>
      </c>
      <c r="J57" s="1">
        <v>78.989999999999995</v>
      </c>
      <c r="K57" s="1">
        <v>1248.76</v>
      </c>
      <c r="L57" s="1" t="s">
        <v>17</v>
      </c>
    </row>
    <row r="58" spans="1:12" x14ac:dyDescent="0.95">
      <c r="A58" s="1">
        <v>57</v>
      </c>
      <c r="B58" s="1" t="s">
        <v>32</v>
      </c>
      <c r="C58" s="1">
        <v>2016</v>
      </c>
      <c r="D58" s="1">
        <v>29836.32</v>
      </c>
      <c r="E58" s="1">
        <v>17.61</v>
      </c>
      <c r="F58" s="1">
        <v>39.24</v>
      </c>
      <c r="G58" s="1">
        <v>21.7</v>
      </c>
      <c r="H58" s="1">
        <v>55.63</v>
      </c>
      <c r="I58" s="1">
        <v>3.79</v>
      </c>
      <c r="J58" s="1">
        <v>53.52</v>
      </c>
      <c r="K58" s="1">
        <v>63.85</v>
      </c>
      <c r="L58" s="1" t="s">
        <v>17</v>
      </c>
    </row>
    <row r="59" spans="1:12" x14ac:dyDescent="0.95">
      <c r="A59" s="1">
        <v>58</v>
      </c>
      <c r="B59" s="1" t="s">
        <v>16</v>
      </c>
      <c r="C59" s="1">
        <v>2016</v>
      </c>
      <c r="D59" s="1">
        <v>41189</v>
      </c>
      <c r="E59" s="1">
        <v>6.9</v>
      </c>
      <c r="F59" s="1">
        <v>63.98</v>
      </c>
      <c r="G59" s="1">
        <v>27.64</v>
      </c>
      <c r="H59" s="1">
        <v>85.72</v>
      </c>
      <c r="I59" s="1">
        <v>13.87</v>
      </c>
      <c r="J59" s="1">
        <v>62.21</v>
      </c>
      <c r="K59" s="1">
        <v>1180.93</v>
      </c>
      <c r="L59" s="1" t="s">
        <v>13</v>
      </c>
    </row>
    <row r="60" spans="1:12" x14ac:dyDescent="0.95">
      <c r="A60" s="1">
        <v>59</v>
      </c>
      <c r="B60" s="1" t="s">
        <v>29</v>
      </c>
      <c r="C60" s="1">
        <v>2016</v>
      </c>
      <c r="D60" s="1">
        <v>41913.85</v>
      </c>
      <c r="E60" s="1">
        <v>26</v>
      </c>
      <c r="F60" s="1">
        <v>63.8</v>
      </c>
      <c r="G60" s="1">
        <v>23.9</v>
      </c>
      <c r="H60" s="1">
        <v>91.89</v>
      </c>
      <c r="I60" s="1">
        <v>12.25</v>
      </c>
      <c r="J60" s="1">
        <v>65.69</v>
      </c>
      <c r="K60" s="1">
        <v>400.07</v>
      </c>
      <c r="L60" s="1" t="s">
        <v>13</v>
      </c>
    </row>
    <row r="61" spans="1:12" x14ac:dyDescent="0.95">
      <c r="A61" s="1">
        <v>60</v>
      </c>
      <c r="B61" s="1" t="s">
        <v>12</v>
      </c>
      <c r="C61" s="1">
        <v>2016</v>
      </c>
      <c r="D61" s="1">
        <v>4701.18</v>
      </c>
      <c r="E61" s="1">
        <v>56.48</v>
      </c>
      <c r="F61" s="1">
        <v>57.52</v>
      </c>
      <c r="G61" s="1">
        <v>27.99</v>
      </c>
      <c r="H61" s="1">
        <v>98.85</v>
      </c>
      <c r="I61" s="1">
        <v>14.33</v>
      </c>
      <c r="J61" s="1">
        <v>77.38</v>
      </c>
      <c r="K61" s="1">
        <v>1370.19</v>
      </c>
      <c r="L61" s="1" t="s">
        <v>13</v>
      </c>
    </row>
    <row r="62" spans="1:12" x14ac:dyDescent="0.95">
      <c r="A62" s="1">
        <v>61</v>
      </c>
      <c r="B62" s="1" t="s">
        <v>21</v>
      </c>
      <c r="C62" s="1">
        <v>2016</v>
      </c>
      <c r="D62" s="1">
        <v>43583.23</v>
      </c>
      <c r="E62" s="1">
        <v>25.24</v>
      </c>
      <c r="F62" s="1">
        <v>43.5</v>
      </c>
      <c r="G62" s="1">
        <v>21.43</v>
      </c>
      <c r="H62" s="1">
        <v>56.61</v>
      </c>
      <c r="I62" s="1">
        <v>7.06</v>
      </c>
      <c r="J62" s="1">
        <v>75.540000000000006</v>
      </c>
      <c r="K62" s="1">
        <v>1298.57</v>
      </c>
      <c r="L62" s="1" t="s">
        <v>17</v>
      </c>
    </row>
    <row r="63" spans="1:12" x14ac:dyDescent="0.95">
      <c r="A63" s="1">
        <v>62</v>
      </c>
      <c r="B63" s="1" t="s">
        <v>23</v>
      </c>
      <c r="C63" s="1">
        <v>2016</v>
      </c>
      <c r="D63" s="1">
        <v>55410.65</v>
      </c>
      <c r="E63" s="1">
        <v>33.4</v>
      </c>
      <c r="F63" s="1">
        <v>28.48</v>
      </c>
      <c r="G63" s="1">
        <v>15.96</v>
      </c>
      <c r="H63" s="1">
        <v>80.819999999999993</v>
      </c>
      <c r="I63" s="1">
        <v>18.89</v>
      </c>
      <c r="J63" s="1">
        <v>66.239999999999995</v>
      </c>
      <c r="K63" s="1">
        <v>189.35</v>
      </c>
      <c r="L63" s="1" t="s">
        <v>15</v>
      </c>
    </row>
    <row r="64" spans="1:12" x14ac:dyDescent="0.95">
      <c r="A64" s="1">
        <v>63</v>
      </c>
      <c r="B64" s="1" t="s">
        <v>26</v>
      </c>
      <c r="C64" s="1">
        <v>2016</v>
      </c>
      <c r="D64" s="1">
        <v>20773.23</v>
      </c>
      <c r="E64" s="1">
        <v>38.619999999999997</v>
      </c>
      <c r="F64" s="1">
        <v>31.17</v>
      </c>
      <c r="G64" s="1">
        <v>14.51</v>
      </c>
      <c r="H64" s="1">
        <v>78.430000000000007</v>
      </c>
      <c r="I64" s="1">
        <v>2.2400000000000002</v>
      </c>
      <c r="J64" s="1">
        <v>63.11</v>
      </c>
      <c r="K64" s="1">
        <v>199.23</v>
      </c>
      <c r="L64" s="1" t="s">
        <v>15</v>
      </c>
    </row>
    <row r="65" spans="1:12" x14ac:dyDescent="0.95">
      <c r="A65" s="1">
        <v>64</v>
      </c>
      <c r="B65" s="1" t="s">
        <v>26</v>
      </c>
      <c r="C65" s="1">
        <v>2016</v>
      </c>
      <c r="D65" s="1">
        <v>13366.56</v>
      </c>
      <c r="E65" s="1">
        <v>59.23</v>
      </c>
      <c r="F65" s="1">
        <v>48.34</v>
      </c>
      <c r="G65" s="1">
        <v>12.42</v>
      </c>
      <c r="H65" s="1">
        <v>75.33</v>
      </c>
      <c r="I65" s="1">
        <v>23.73</v>
      </c>
      <c r="J65" s="1">
        <v>57.06</v>
      </c>
      <c r="K65" s="1">
        <v>852.1</v>
      </c>
      <c r="L65" s="1" t="s">
        <v>17</v>
      </c>
    </row>
    <row r="66" spans="1:12" x14ac:dyDescent="0.95">
      <c r="A66" s="1">
        <v>65</v>
      </c>
      <c r="B66" s="1" t="s">
        <v>34</v>
      </c>
      <c r="C66" s="1">
        <v>2016</v>
      </c>
      <c r="D66" s="1">
        <v>49740.91</v>
      </c>
      <c r="E66" s="1">
        <v>11.61</v>
      </c>
      <c r="F66" s="1">
        <v>48.05</v>
      </c>
      <c r="G66" s="1">
        <v>17.77</v>
      </c>
      <c r="H66" s="1">
        <v>73.66</v>
      </c>
      <c r="I66" s="1">
        <v>18.670000000000002</v>
      </c>
      <c r="J66" s="1">
        <v>82.83</v>
      </c>
      <c r="K66" s="1">
        <v>1342.45</v>
      </c>
      <c r="L66" s="1" t="s">
        <v>17</v>
      </c>
    </row>
    <row r="67" spans="1:12" x14ac:dyDescent="0.95">
      <c r="A67" s="1">
        <v>66</v>
      </c>
      <c r="B67" s="1" t="s">
        <v>33</v>
      </c>
      <c r="C67" s="1">
        <v>2016</v>
      </c>
      <c r="D67" s="1">
        <v>7893.67</v>
      </c>
      <c r="E67" s="1">
        <v>61.05</v>
      </c>
      <c r="F67" s="1">
        <v>52.52</v>
      </c>
      <c r="G67" s="1">
        <v>3.76</v>
      </c>
      <c r="H67" s="1">
        <v>68.239999999999995</v>
      </c>
      <c r="I67" s="1">
        <v>18</v>
      </c>
      <c r="J67" s="1">
        <v>54.22</v>
      </c>
      <c r="K67" s="1">
        <v>846.24</v>
      </c>
      <c r="L67" s="1" t="s">
        <v>13</v>
      </c>
    </row>
    <row r="68" spans="1:12" x14ac:dyDescent="0.95">
      <c r="A68" s="1">
        <v>67</v>
      </c>
      <c r="B68" s="1" t="s">
        <v>30</v>
      </c>
      <c r="C68" s="1">
        <v>2016</v>
      </c>
      <c r="D68" s="1">
        <v>3522.57</v>
      </c>
      <c r="E68" s="1">
        <v>9.69</v>
      </c>
      <c r="F68" s="1">
        <v>43.09</v>
      </c>
      <c r="G68" s="1">
        <v>26.28</v>
      </c>
      <c r="H68" s="1">
        <v>68.91</v>
      </c>
      <c r="I68" s="1">
        <v>13.17</v>
      </c>
      <c r="J68" s="1">
        <v>53.37</v>
      </c>
      <c r="K68" s="1">
        <v>219.36</v>
      </c>
      <c r="L68" s="1" t="s">
        <v>17</v>
      </c>
    </row>
    <row r="69" spans="1:12" x14ac:dyDescent="0.95">
      <c r="A69" s="1">
        <v>68</v>
      </c>
      <c r="B69" s="1" t="s">
        <v>26</v>
      </c>
      <c r="C69" s="1">
        <v>2016</v>
      </c>
      <c r="D69" s="1">
        <v>54916.34</v>
      </c>
      <c r="E69" s="1">
        <v>46.65</v>
      </c>
      <c r="F69" s="1">
        <v>26.45</v>
      </c>
      <c r="G69" s="1">
        <v>9.8800000000000008</v>
      </c>
      <c r="H69" s="1">
        <v>66.58</v>
      </c>
      <c r="I69" s="1">
        <v>9.64</v>
      </c>
      <c r="J69" s="1">
        <v>54.89</v>
      </c>
      <c r="K69" s="1">
        <v>1358.9</v>
      </c>
      <c r="L69" s="1" t="s">
        <v>15</v>
      </c>
    </row>
    <row r="70" spans="1:12" x14ac:dyDescent="0.95">
      <c r="A70" s="1">
        <v>69</v>
      </c>
      <c r="B70" s="1" t="s">
        <v>27</v>
      </c>
      <c r="C70" s="1">
        <v>2016</v>
      </c>
      <c r="D70" s="1">
        <v>2586.1799999999998</v>
      </c>
      <c r="E70" s="1">
        <v>10.52</v>
      </c>
      <c r="F70" s="1">
        <v>63.52</v>
      </c>
      <c r="G70" s="1">
        <v>16.29</v>
      </c>
      <c r="H70" s="1">
        <v>97.5</v>
      </c>
      <c r="I70" s="1">
        <v>11.38</v>
      </c>
      <c r="J70" s="1">
        <v>62.29</v>
      </c>
      <c r="K70" s="1">
        <v>736.37</v>
      </c>
      <c r="L70" s="1" t="s">
        <v>13</v>
      </c>
    </row>
    <row r="71" spans="1:12" x14ac:dyDescent="0.95">
      <c r="A71" s="1">
        <v>70</v>
      </c>
      <c r="B71" s="1" t="s">
        <v>34</v>
      </c>
      <c r="C71" s="1">
        <v>2016</v>
      </c>
      <c r="D71" s="1">
        <v>10643.66</v>
      </c>
      <c r="E71" s="1">
        <v>9.65</v>
      </c>
      <c r="F71" s="1">
        <v>37.130000000000003</v>
      </c>
      <c r="G71" s="1">
        <v>4.63</v>
      </c>
      <c r="H71" s="1">
        <v>85.46</v>
      </c>
      <c r="I71" s="1">
        <v>2.5</v>
      </c>
      <c r="J71" s="1">
        <v>68.81</v>
      </c>
      <c r="K71" s="1">
        <v>1445.23</v>
      </c>
      <c r="L71" s="1" t="s">
        <v>17</v>
      </c>
    </row>
    <row r="72" spans="1:12" x14ac:dyDescent="0.95">
      <c r="A72" s="1">
        <v>71</v>
      </c>
      <c r="B72" s="1" t="s">
        <v>21</v>
      </c>
      <c r="C72" s="1">
        <v>2016</v>
      </c>
      <c r="D72" s="1">
        <v>57126.74</v>
      </c>
      <c r="E72" s="1">
        <v>40.76</v>
      </c>
      <c r="F72" s="1">
        <v>37.25</v>
      </c>
      <c r="G72" s="1">
        <v>18.22</v>
      </c>
      <c r="H72" s="1">
        <v>78.19</v>
      </c>
      <c r="I72" s="1">
        <v>11.23</v>
      </c>
      <c r="J72" s="1">
        <v>56.31</v>
      </c>
      <c r="K72" s="1">
        <v>1286.1400000000001</v>
      </c>
      <c r="L72" s="1" t="s">
        <v>17</v>
      </c>
    </row>
    <row r="73" spans="1:12" x14ac:dyDescent="0.95">
      <c r="A73" s="1">
        <v>72</v>
      </c>
      <c r="B73" s="1" t="s">
        <v>36</v>
      </c>
      <c r="C73" s="1">
        <v>2016</v>
      </c>
      <c r="D73" s="1">
        <v>36245.760000000002</v>
      </c>
      <c r="E73" s="1">
        <v>44.85</v>
      </c>
      <c r="F73" s="1">
        <v>26.67</v>
      </c>
      <c r="G73" s="1">
        <v>4.2</v>
      </c>
      <c r="H73" s="1">
        <v>86.52</v>
      </c>
      <c r="I73" s="1">
        <v>2.73</v>
      </c>
      <c r="J73" s="1">
        <v>54.35</v>
      </c>
      <c r="K73" s="1">
        <v>22.5</v>
      </c>
      <c r="L73" s="1" t="s">
        <v>15</v>
      </c>
    </row>
    <row r="74" spans="1:12" x14ac:dyDescent="0.95">
      <c r="A74" s="1">
        <v>73</v>
      </c>
      <c r="B74" s="1" t="s">
        <v>16</v>
      </c>
      <c r="C74" s="1">
        <v>2016</v>
      </c>
      <c r="D74" s="1">
        <v>66989.899999999994</v>
      </c>
      <c r="E74" s="1">
        <v>48.46</v>
      </c>
      <c r="F74" s="1">
        <v>39.130000000000003</v>
      </c>
      <c r="G74" s="1">
        <v>9.7100000000000009</v>
      </c>
      <c r="H74" s="1">
        <v>70.39</v>
      </c>
      <c r="I74" s="1">
        <v>19.59</v>
      </c>
      <c r="J74" s="1">
        <v>73.83</v>
      </c>
      <c r="K74" s="1">
        <v>272.61</v>
      </c>
      <c r="L74" s="1" t="s">
        <v>17</v>
      </c>
    </row>
    <row r="75" spans="1:12" x14ac:dyDescent="0.95">
      <c r="A75" s="1">
        <v>74</v>
      </c>
      <c r="B75" s="1" t="s">
        <v>14</v>
      </c>
      <c r="C75" s="1">
        <v>2016</v>
      </c>
      <c r="D75" s="1">
        <v>21244.78</v>
      </c>
      <c r="E75" s="1">
        <v>50.46</v>
      </c>
      <c r="F75" s="1">
        <v>49.99</v>
      </c>
      <c r="G75" s="1">
        <v>11.93</v>
      </c>
      <c r="H75" s="1">
        <v>64.05</v>
      </c>
      <c r="I75" s="1">
        <v>3.91</v>
      </c>
      <c r="J75" s="1">
        <v>72.3</v>
      </c>
      <c r="K75" s="1">
        <v>1124.3499999999999</v>
      </c>
      <c r="L75" s="1" t="s">
        <v>17</v>
      </c>
    </row>
    <row r="76" spans="1:12" x14ac:dyDescent="0.95">
      <c r="A76" s="1">
        <v>75</v>
      </c>
      <c r="B76" s="1" t="s">
        <v>25</v>
      </c>
      <c r="C76" s="1">
        <v>2016</v>
      </c>
      <c r="D76" s="1">
        <v>26553.96</v>
      </c>
      <c r="E76" s="1">
        <v>29.22</v>
      </c>
      <c r="F76" s="1">
        <v>42.58</v>
      </c>
      <c r="G76" s="1">
        <v>17.940000000000001</v>
      </c>
      <c r="H76" s="1">
        <v>96.5</v>
      </c>
      <c r="I76" s="1">
        <v>6.78</v>
      </c>
      <c r="J76" s="1">
        <v>56.01</v>
      </c>
      <c r="K76" s="1">
        <v>290.33999999999997</v>
      </c>
      <c r="L76" s="1" t="s">
        <v>17</v>
      </c>
    </row>
    <row r="77" spans="1:12" x14ac:dyDescent="0.95">
      <c r="A77" s="1">
        <v>76</v>
      </c>
      <c r="B77" s="1" t="s">
        <v>16</v>
      </c>
      <c r="C77" s="1">
        <v>2017</v>
      </c>
      <c r="D77" s="1">
        <v>21853.56</v>
      </c>
      <c r="E77" s="1">
        <v>35.06</v>
      </c>
      <c r="F77" s="1">
        <v>42.28</v>
      </c>
      <c r="G77" s="1">
        <v>9.57</v>
      </c>
      <c r="H77" s="1">
        <v>81.92</v>
      </c>
      <c r="I77" s="1">
        <v>4.3499999999999996</v>
      </c>
      <c r="J77" s="1">
        <v>61.64</v>
      </c>
      <c r="K77" s="1">
        <v>534.39</v>
      </c>
      <c r="L77" s="1" t="s">
        <v>17</v>
      </c>
    </row>
    <row r="78" spans="1:12" x14ac:dyDescent="0.95">
      <c r="A78" s="1">
        <v>77</v>
      </c>
      <c r="B78" s="1" t="s">
        <v>22</v>
      </c>
      <c r="C78" s="1">
        <v>2017</v>
      </c>
      <c r="D78" s="1">
        <v>20240.669999999998</v>
      </c>
      <c r="E78" s="1">
        <v>36.19</v>
      </c>
      <c r="F78" s="1">
        <v>30.64</v>
      </c>
      <c r="G78" s="1">
        <v>22.86</v>
      </c>
      <c r="H78" s="1">
        <v>58.28</v>
      </c>
      <c r="I78" s="1">
        <v>24.69</v>
      </c>
      <c r="J78" s="1">
        <v>77.48</v>
      </c>
      <c r="K78" s="1">
        <v>292.14</v>
      </c>
      <c r="L78" s="1" t="s">
        <v>15</v>
      </c>
    </row>
    <row r="79" spans="1:12" x14ac:dyDescent="0.95">
      <c r="A79" s="1">
        <v>78</v>
      </c>
      <c r="B79" s="1" t="s">
        <v>21</v>
      </c>
      <c r="C79" s="1">
        <v>2017</v>
      </c>
      <c r="D79" s="1">
        <v>36973.11</v>
      </c>
      <c r="E79" s="1">
        <v>28.94</v>
      </c>
      <c r="F79" s="1">
        <v>26.02</v>
      </c>
      <c r="G79" s="1">
        <v>4.8099999999999996</v>
      </c>
      <c r="H79" s="1">
        <v>56.38</v>
      </c>
      <c r="I79" s="1">
        <v>16.27</v>
      </c>
      <c r="J79" s="1">
        <v>62.37</v>
      </c>
      <c r="K79" s="1">
        <v>739.88</v>
      </c>
      <c r="L79" s="1" t="s">
        <v>15</v>
      </c>
    </row>
    <row r="80" spans="1:12" x14ac:dyDescent="0.95">
      <c r="A80" s="1">
        <v>79</v>
      </c>
      <c r="B80" s="1" t="s">
        <v>18</v>
      </c>
      <c r="C80" s="1">
        <v>2017</v>
      </c>
      <c r="D80" s="1">
        <v>20510.96</v>
      </c>
      <c r="E80" s="1">
        <v>4.32</v>
      </c>
      <c r="F80" s="1">
        <v>49.38</v>
      </c>
      <c r="G80" s="1">
        <v>15.07</v>
      </c>
      <c r="H80" s="1">
        <v>57.27</v>
      </c>
      <c r="I80" s="1">
        <v>7.69</v>
      </c>
      <c r="J80" s="1">
        <v>81.97</v>
      </c>
      <c r="K80" s="1">
        <v>351.17</v>
      </c>
      <c r="L80" s="1" t="s">
        <v>17</v>
      </c>
    </row>
    <row r="81" spans="1:12" x14ac:dyDescent="0.95">
      <c r="A81" s="1">
        <v>80</v>
      </c>
      <c r="B81" s="1" t="s">
        <v>33</v>
      </c>
      <c r="C81" s="1">
        <v>2017</v>
      </c>
      <c r="D81" s="1">
        <v>67482.5</v>
      </c>
      <c r="E81" s="1">
        <v>55.74</v>
      </c>
      <c r="F81" s="1">
        <v>36.78</v>
      </c>
      <c r="G81" s="1">
        <v>12.01</v>
      </c>
      <c r="H81" s="1">
        <v>92.45</v>
      </c>
      <c r="I81" s="1">
        <v>8.61</v>
      </c>
      <c r="J81" s="1">
        <v>57.59</v>
      </c>
      <c r="K81" s="1">
        <v>809.58</v>
      </c>
      <c r="L81" s="1" t="s">
        <v>17</v>
      </c>
    </row>
    <row r="82" spans="1:12" x14ac:dyDescent="0.95">
      <c r="A82" s="1">
        <v>81</v>
      </c>
      <c r="B82" s="1" t="s">
        <v>20</v>
      </c>
      <c r="C82" s="1">
        <v>2017</v>
      </c>
      <c r="D82" s="1">
        <v>61514.22</v>
      </c>
      <c r="E82" s="1">
        <v>48.67</v>
      </c>
      <c r="F82" s="1">
        <v>52.88</v>
      </c>
      <c r="G82" s="1">
        <v>20.260000000000002</v>
      </c>
      <c r="H82" s="1">
        <v>70.819999999999993</v>
      </c>
      <c r="I82" s="1">
        <v>8.0500000000000007</v>
      </c>
      <c r="J82" s="1">
        <v>78.709999999999994</v>
      </c>
      <c r="K82" s="1">
        <v>1175.6099999999999</v>
      </c>
      <c r="L82" s="1" t="s">
        <v>13</v>
      </c>
    </row>
    <row r="83" spans="1:12" x14ac:dyDescent="0.95">
      <c r="A83" s="1">
        <v>82</v>
      </c>
      <c r="B83" s="1" t="s">
        <v>31</v>
      </c>
      <c r="C83" s="1">
        <v>2017</v>
      </c>
      <c r="D83" s="1">
        <v>51045.52</v>
      </c>
      <c r="E83" s="1">
        <v>63.48</v>
      </c>
      <c r="F83" s="1">
        <v>45.65</v>
      </c>
      <c r="G83" s="1">
        <v>10.4</v>
      </c>
      <c r="H83" s="1">
        <v>89.99</v>
      </c>
      <c r="I83" s="1">
        <v>7.5</v>
      </c>
      <c r="J83" s="1">
        <v>66.489999999999995</v>
      </c>
      <c r="K83" s="1">
        <v>118.37</v>
      </c>
      <c r="L83" s="1" t="s">
        <v>17</v>
      </c>
    </row>
    <row r="84" spans="1:12" x14ac:dyDescent="0.95">
      <c r="A84" s="1">
        <v>83</v>
      </c>
      <c r="B84" s="1" t="s">
        <v>34</v>
      </c>
      <c r="C84" s="1">
        <v>2017</v>
      </c>
      <c r="D84" s="1">
        <v>59997.87</v>
      </c>
      <c r="E84" s="1">
        <v>46.33</v>
      </c>
      <c r="F84" s="1">
        <v>43.97</v>
      </c>
      <c r="G84" s="1">
        <v>4.54</v>
      </c>
      <c r="H84" s="1">
        <v>76.63</v>
      </c>
      <c r="I84" s="1">
        <v>12.36</v>
      </c>
      <c r="J84" s="1">
        <v>57.72</v>
      </c>
      <c r="K84" s="1">
        <v>631.91999999999996</v>
      </c>
      <c r="L84" s="1" t="s">
        <v>17</v>
      </c>
    </row>
    <row r="85" spans="1:12" x14ac:dyDescent="0.95">
      <c r="A85" s="1">
        <v>84</v>
      </c>
      <c r="B85" s="1" t="s">
        <v>18</v>
      </c>
      <c r="C85" s="1">
        <v>2017</v>
      </c>
      <c r="D85" s="1">
        <v>26837.16</v>
      </c>
      <c r="E85" s="1">
        <v>7.26</v>
      </c>
      <c r="F85" s="1">
        <v>56.09</v>
      </c>
      <c r="G85" s="1">
        <v>16.52</v>
      </c>
      <c r="H85" s="1">
        <v>73.67</v>
      </c>
      <c r="I85" s="1">
        <v>22.75</v>
      </c>
      <c r="J85" s="1">
        <v>55.67</v>
      </c>
      <c r="K85" s="1">
        <v>716.84</v>
      </c>
      <c r="L85" s="1" t="s">
        <v>13</v>
      </c>
    </row>
    <row r="86" spans="1:12" x14ac:dyDescent="0.95">
      <c r="A86" s="1">
        <v>85</v>
      </c>
      <c r="B86" s="1" t="s">
        <v>32</v>
      </c>
      <c r="C86" s="1">
        <v>2017</v>
      </c>
      <c r="D86" s="1">
        <v>57341.39</v>
      </c>
      <c r="E86" s="1">
        <v>18.25</v>
      </c>
      <c r="F86" s="1">
        <v>31.84</v>
      </c>
      <c r="G86" s="1">
        <v>19.38</v>
      </c>
      <c r="H86" s="1">
        <v>95.89</v>
      </c>
      <c r="I86" s="1">
        <v>14.36</v>
      </c>
      <c r="J86" s="1">
        <v>70.86</v>
      </c>
      <c r="K86" s="1">
        <v>409.57</v>
      </c>
      <c r="L86" s="1" t="s">
        <v>15</v>
      </c>
    </row>
    <row r="87" spans="1:12" x14ac:dyDescent="0.95">
      <c r="A87" s="1">
        <v>86</v>
      </c>
      <c r="B87" s="1" t="s">
        <v>26</v>
      </c>
      <c r="C87" s="1">
        <v>2017</v>
      </c>
      <c r="D87" s="1">
        <v>10547.31</v>
      </c>
      <c r="E87" s="1">
        <v>13.11</v>
      </c>
      <c r="F87" s="1">
        <v>44.93</v>
      </c>
      <c r="G87" s="1">
        <v>12.89</v>
      </c>
      <c r="H87" s="1">
        <v>95.25</v>
      </c>
      <c r="I87" s="1">
        <v>9.6999999999999993</v>
      </c>
      <c r="J87" s="1">
        <v>71.16</v>
      </c>
      <c r="K87" s="1">
        <v>918.62</v>
      </c>
      <c r="L87" s="1" t="s">
        <v>17</v>
      </c>
    </row>
    <row r="88" spans="1:12" x14ac:dyDescent="0.95">
      <c r="A88" s="1">
        <v>87</v>
      </c>
      <c r="B88" s="1" t="s">
        <v>16</v>
      </c>
      <c r="C88" s="1">
        <v>2017</v>
      </c>
      <c r="D88" s="1">
        <v>45364.77</v>
      </c>
      <c r="E88" s="1">
        <v>27.75</v>
      </c>
      <c r="F88" s="1">
        <v>26.02</v>
      </c>
      <c r="G88" s="1">
        <v>6.06</v>
      </c>
      <c r="H88" s="1">
        <v>86.5</v>
      </c>
      <c r="I88" s="1">
        <v>16.809999999999999</v>
      </c>
      <c r="J88" s="1">
        <v>52.89</v>
      </c>
      <c r="K88" s="1">
        <v>325.75</v>
      </c>
      <c r="L88" s="1" t="s">
        <v>15</v>
      </c>
    </row>
    <row r="89" spans="1:12" x14ac:dyDescent="0.95">
      <c r="A89" s="1">
        <v>88</v>
      </c>
      <c r="B89" s="1" t="s">
        <v>34</v>
      </c>
      <c r="C89" s="1">
        <v>2017</v>
      </c>
      <c r="D89" s="1">
        <v>21085.82</v>
      </c>
      <c r="E89" s="1">
        <v>58.47</v>
      </c>
      <c r="F89" s="1">
        <v>25.52</v>
      </c>
      <c r="G89" s="1">
        <v>4.22</v>
      </c>
      <c r="H89" s="1">
        <v>64.150000000000006</v>
      </c>
      <c r="I89" s="1">
        <v>1.64</v>
      </c>
      <c r="J89" s="1">
        <v>57.99</v>
      </c>
      <c r="K89" s="1">
        <v>847.5</v>
      </c>
      <c r="L89" s="1" t="s">
        <v>15</v>
      </c>
    </row>
    <row r="90" spans="1:12" x14ac:dyDescent="0.95">
      <c r="A90" s="1">
        <v>89</v>
      </c>
      <c r="B90" s="1" t="s">
        <v>37</v>
      </c>
      <c r="C90" s="1">
        <v>2017</v>
      </c>
      <c r="D90" s="1">
        <v>29962.58</v>
      </c>
      <c r="E90" s="1">
        <v>58.24</v>
      </c>
      <c r="F90" s="1">
        <v>57.7</v>
      </c>
      <c r="G90" s="1">
        <v>10.89</v>
      </c>
      <c r="H90" s="1">
        <v>66.41</v>
      </c>
      <c r="I90" s="1">
        <v>10.11</v>
      </c>
      <c r="J90" s="1">
        <v>71.48</v>
      </c>
      <c r="K90" s="1">
        <v>392.35</v>
      </c>
      <c r="L90" s="1" t="s">
        <v>13</v>
      </c>
    </row>
    <row r="91" spans="1:12" x14ac:dyDescent="0.95">
      <c r="A91" s="1">
        <v>90</v>
      </c>
      <c r="B91" s="1" t="s">
        <v>21</v>
      </c>
      <c r="C91" s="1">
        <v>2017</v>
      </c>
      <c r="D91" s="1">
        <v>13611.2</v>
      </c>
      <c r="E91" s="1">
        <v>36.14</v>
      </c>
      <c r="F91" s="1">
        <v>59.92</v>
      </c>
      <c r="G91" s="1">
        <v>21.04</v>
      </c>
      <c r="H91" s="1">
        <v>90.49</v>
      </c>
      <c r="I91" s="1">
        <v>16.809999999999999</v>
      </c>
      <c r="J91" s="1">
        <v>74.849999999999994</v>
      </c>
      <c r="K91" s="1">
        <v>1232.0899999999999</v>
      </c>
      <c r="L91" s="1" t="s">
        <v>13</v>
      </c>
    </row>
    <row r="92" spans="1:12" x14ac:dyDescent="0.95">
      <c r="A92" s="1">
        <v>91</v>
      </c>
      <c r="B92" s="1" t="s">
        <v>29</v>
      </c>
      <c r="C92" s="1">
        <v>2017</v>
      </c>
      <c r="D92" s="1">
        <v>3712.85</v>
      </c>
      <c r="E92" s="1">
        <v>3.13</v>
      </c>
      <c r="F92" s="1">
        <v>64.510000000000005</v>
      </c>
      <c r="G92" s="1">
        <v>13.12</v>
      </c>
      <c r="H92" s="1">
        <v>71.91</v>
      </c>
      <c r="I92" s="1">
        <v>17.309999999999999</v>
      </c>
      <c r="J92" s="1">
        <v>59.2</v>
      </c>
      <c r="K92" s="1">
        <v>1377.69</v>
      </c>
      <c r="L92" s="1" t="s">
        <v>13</v>
      </c>
    </row>
    <row r="93" spans="1:12" x14ac:dyDescent="0.95">
      <c r="A93" s="1">
        <v>92</v>
      </c>
      <c r="B93" s="1" t="s">
        <v>22</v>
      </c>
      <c r="C93" s="1">
        <v>2017</v>
      </c>
      <c r="D93" s="1">
        <v>55215.07</v>
      </c>
      <c r="E93" s="1">
        <v>7.63</v>
      </c>
      <c r="F93" s="1">
        <v>41.7</v>
      </c>
      <c r="G93" s="1">
        <v>24.86</v>
      </c>
      <c r="H93" s="1">
        <v>96.57</v>
      </c>
      <c r="I93" s="1">
        <v>12.22</v>
      </c>
      <c r="J93" s="1">
        <v>72.239999999999995</v>
      </c>
      <c r="K93" s="1">
        <v>246.36</v>
      </c>
      <c r="L93" s="1" t="s">
        <v>17</v>
      </c>
    </row>
    <row r="94" spans="1:12" x14ac:dyDescent="0.95">
      <c r="A94" s="1">
        <v>93</v>
      </c>
      <c r="B94" s="1" t="s">
        <v>24</v>
      </c>
      <c r="C94" s="1">
        <v>2017</v>
      </c>
      <c r="D94" s="1">
        <v>16288.18</v>
      </c>
      <c r="E94" s="1">
        <v>35.83</v>
      </c>
      <c r="F94" s="1">
        <v>48.72</v>
      </c>
      <c r="G94" s="1">
        <v>17.079999999999998</v>
      </c>
      <c r="H94" s="1">
        <v>59.03</v>
      </c>
      <c r="I94" s="1">
        <v>22.06</v>
      </c>
      <c r="J94" s="1">
        <v>60.76</v>
      </c>
      <c r="K94" s="1">
        <v>192.15</v>
      </c>
      <c r="L94" s="1" t="s">
        <v>17</v>
      </c>
    </row>
    <row r="95" spans="1:12" x14ac:dyDescent="0.95">
      <c r="A95" s="1">
        <v>94</v>
      </c>
      <c r="B95" s="1" t="s">
        <v>26</v>
      </c>
      <c r="C95" s="1">
        <v>2017</v>
      </c>
      <c r="D95" s="1">
        <v>49065.03</v>
      </c>
      <c r="E95" s="1">
        <v>44.85</v>
      </c>
      <c r="F95" s="1">
        <v>49.74</v>
      </c>
      <c r="G95" s="1">
        <v>21.57</v>
      </c>
      <c r="H95" s="1">
        <v>61.98</v>
      </c>
      <c r="I95" s="1">
        <v>22.14</v>
      </c>
      <c r="J95" s="1">
        <v>80.77</v>
      </c>
      <c r="K95" s="1">
        <v>47.26</v>
      </c>
      <c r="L95" s="1" t="s">
        <v>17</v>
      </c>
    </row>
    <row r="96" spans="1:12" x14ac:dyDescent="0.95">
      <c r="A96" s="1">
        <v>95</v>
      </c>
      <c r="B96" s="1" t="s">
        <v>18</v>
      </c>
      <c r="C96" s="1">
        <v>2017</v>
      </c>
      <c r="D96" s="1">
        <v>15546.85</v>
      </c>
      <c r="E96" s="1">
        <v>3.96</v>
      </c>
      <c r="F96" s="1">
        <v>51.07</v>
      </c>
      <c r="G96" s="1">
        <v>11.58</v>
      </c>
      <c r="H96" s="1">
        <v>93.03</v>
      </c>
      <c r="I96" s="1">
        <v>12.36</v>
      </c>
      <c r="J96" s="1">
        <v>83.95</v>
      </c>
      <c r="K96" s="1">
        <v>273.08</v>
      </c>
      <c r="L96" s="1" t="s">
        <v>13</v>
      </c>
    </row>
    <row r="97" spans="1:12" x14ac:dyDescent="0.95">
      <c r="A97" s="1">
        <v>96</v>
      </c>
      <c r="B97" s="1" t="s">
        <v>39</v>
      </c>
      <c r="C97" s="1">
        <v>2017</v>
      </c>
      <c r="D97" s="1">
        <v>60908.72</v>
      </c>
      <c r="E97" s="1">
        <v>50.93</v>
      </c>
      <c r="F97" s="1">
        <v>55.84</v>
      </c>
      <c r="G97" s="1">
        <v>23.96</v>
      </c>
      <c r="H97" s="1">
        <v>88.49</v>
      </c>
      <c r="I97" s="1">
        <v>16.03</v>
      </c>
      <c r="J97" s="1">
        <v>56.33</v>
      </c>
      <c r="K97" s="1">
        <v>52</v>
      </c>
      <c r="L97" s="1" t="s">
        <v>13</v>
      </c>
    </row>
    <row r="98" spans="1:12" x14ac:dyDescent="0.95">
      <c r="A98" s="1">
        <v>97</v>
      </c>
      <c r="B98" s="1" t="s">
        <v>19</v>
      </c>
      <c r="C98" s="1">
        <v>2017</v>
      </c>
      <c r="D98" s="1">
        <v>46382.58</v>
      </c>
      <c r="E98" s="1">
        <v>33.39</v>
      </c>
      <c r="F98" s="1">
        <v>47.21</v>
      </c>
      <c r="G98" s="1">
        <v>20.7</v>
      </c>
      <c r="H98" s="1">
        <v>65.05</v>
      </c>
      <c r="I98" s="1">
        <v>24.91</v>
      </c>
      <c r="J98" s="1">
        <v>84.17</v>
      </c>
      <c r="K98" s="1">
        <v>944.72</v>
      </c>
      <c r="L98" s="1" t="s">
        <v>17</v>
      </c>
    </row>
    <row r="99" spans="1:12" x14ac:dyDescent="0.95">
      <c r="A99" s="1">
        <v>98</v>
      </c>
      <c r="B99" s="1" t="s">
        <v>37</v>
      </c>
      <c r="C99" s="1">
        <v>2017</v>
      </c>
      <c r="D99" s="1">
        <v>52195.29</v>
      </c>
      <c r="E99" s="1">
        <v>28.81</v>
      </c>
      <c r="F99" s="1">
        <v>38.840000000000003</v>
      </c>
      <c r="G99" s="1">
        <v>11.65</v>
      </c>
      <c r="H99" s="1">
        <v>98.46</v>
      </c>
      <c r="I99" s="1">
        <v>1.96</v>
      </c>
      <c r="J99" s="1">
        <v>80.61</v>
      </c>
      <c r="K99" s="1">
        <v>841.19</v>
      </c>
      <c r="L99" s="1" t="s">
        <v>17</v>
      </c>
    </row>
    <row r="100" spans="1:12" x14ac:dyDescent="0.95">
      <c r="A100" s="1">
        <v>99</v>
      </c>
      <c r="B100" s="1" t="s">
        <v>34</v>
      </c>
      <c r="C100" s="1">
        <v>2017</v>
      </c>
      <c r="D100" s="1">
        <v>61593.279999999999</v>
      </c>
      <c r="E100" s="1">
        <v>27.46</v>
      </c>
      <c r="F100" s="1">
        <v>38.08</v>
      </c>
      <c r="G100" s="1">
        <v>19.36</v>
      </c>
      <c r="H100" s="1">
        <v>90.55</v>
      </c>
      <c r="I100" s="1">
        <v>19.29</v>
      </c>
      <c r="J100" s="1">
        <v>78.33</v>
      </c>
      <c r="K100" s="1">
        <v>634.41999999999996</v>
      </c>
      <c r="L100" s="1" t="s">
        <v>17</v>
      </c>
    </row>
    <row r="101" spans="1:12" x14ac:dyDescent="0.95">
      <c r="A101" s="1">
        <v>100</v>
      </c>
      <c r="B101" s="1" t="s">
        <v>20</v>
      </c>
      <c r="C101" s="1">
        <v>2017</v>
      </c>
      <c r="D101" s="1">
        <v>43668.73</v>
      </c>
      <c r="E101" s="1">
        <v>31.2</v>
      </c>
      <c r="F101" s="1">
        <v>40.19</v>
      </c>
      <c r="G101" s="1">
        <v>24.45</v>
      </c>
      <c r="H101" s="1">
        <v>77.84</v>
      </c>
      <c r="I101" s="1">
        <v>12.5</v>
      </c>
      <c r="J101" s="1">
        <v>52.85</v>
      </c>
      <c r="K101" s="1">
        <v>498.1</v>
      </c>
      <c r="L101" s="1" t="s">
        <v>17</v>
      </c>
    </row>
    <row r="102" spans="1:12" x14ac:dyDescent="0.95">
      <c r="A102" s="1">
        <v>101</v>
      </c>
      <c r="B102" s="1" t="s">
        <v>31</v>
      </c>
      <c r="C102" s="1">
        <v>2017</v>
      </c>
      <c r="D102" s="1">
        <v>1638.76</v>
      </c>
      <c r="E102" s="1">
        <v>17.2</v>
      </c>
      <c r="F102" s="1">
        <v>64.03</v>
      </c>
      <c r="G102" s="1">
        <v>22.84</v>
      </c>
      <c r="H102" s="1">
        <v>97.22</v>
      </c>
      <c r="I102" s="1">
        <v>12.71</v>
      </c>
      <c r="J102" s="1">
        <v>55.62</v>
      </c>
      <c r="K102" s="1">
        <v>796.8</v>
      </c>
      <c r="L102" s="1" t="s">
        <v>13</v>
      </c>
    </row>
    <row r="103" spans="1:12" x14ac:dyDescent="0.95">
      <c r="A103" s="1">
        <v>102</v>
      </c>
      <c r="B103" s="1" t="s">
        <v>19</v>
      </c>
      <c r="C103" s="1">
        <v>2017</v>
      </c>
      <c r="D103" s="1">
        <v>32242.91</v>
      </c>
      <c r="E103" s="1">
        <v>55.19</v>
      </c>
      <c r="F103" s="1">
        <v>28.92</v>
      </c>
      <c r="G103" s="1">
        <v>14.69</v>
      </c>
      <c r="H103" s="1">
        <v>61.6</v>
      </c>
      <c r="I103" s="1">
        <v>8.7899999999999991</v>
      </c>
      <c r="J103" s="1">
        <v>76.33</v>
      </c>
      <c r="K103" s="1">
        <v>692.85</v>
      </c>
      <c r="L103" s="1" t="s">
        <v>15</v>
      </c>
    </row>
    <row r="104" spans="1:12" x14ac:dyDescent="0.95">
      <c r="A104" s="1">
        <v>103</v>
      </c>
      <c r="B104" s="1" t="s">
        <v>21</v>
      </c>
      <c r="C104" s="1">
        <v>2017</v>
      </c>
      <c r="D104" s="1">
        <v>41103.65</v>
      </c>
      <c r="E104" s="1">
        <v>49.13</v>
      </c>
      <c r="F104" s="1">
        <v>57.47</v>
      </c>
      <c r="G104" s="1">
        <v>19.07</v>
      </c>
      <c r="H104" s="1">
        <v>60.64</v>
      </c>
      <c r="I104" s="1">
        <v>9.1199999999999992</v>
      </c>
      <c r="J104" s="1">
        <v>82.63</v>
      </c>
      <c r="K104" s="1">
        <v>329.57</v>
      </c>
      <c r="L104" s="1" t="s">
        <v>13</v>
      </c>
    </row>
    <row r="105" spans="1:12" x14ac:dyDescent="0.95">
      <c r="A105" s="1">
        <v>104</v>
      </c>
      <c r="B105" s="1" t="s">
        <v>38</v>
      </c>
      <c r="C105" s="1">
        <v>2017</v>
      </c>
      <c r="D105" s="1">
        <v>68939.149999999994</v>
      </c>
      <c r="E105" s="1">
        <v>61.06</v>
      </c>
      <c r="F105" s="1">
        <v>26.73</v>
      </c>
      <c r="G105" s="1">
        <v>6.29</v>
      </c>
      <c r="H105" s="1">
        <v>60.8</v>
      </c>
      <c r="I105" s="1">
        <v>18.420000000000002</v>
      </c>
      <c r="J105" s="1">
        <v>78.989999999999995</v>
      </c>
      <c r="K105" s="1">
        <v>313.52</v>
      </c>
      <c r="L105" s="1" t="s">
        <v>15</v>
      </c>
    </row>
    <row r="106" spans="1:12" x14ac:dyDescent="0.95">
      <c r="A106" s="1">
        <v>105</v>
      </c>
      <c r="B106" s="1" t="s">
        <v>16</v>
      </c>
      <c r="C106" s="1">
        <v>2017</v>
      </c>
      <c r="D106" s="1">
        <v>51071.15</v>
      </c>
      <c r="E106" s="1">
        <v>64.48</v>
      </c>
      <c r="F106" s="1">
        <v>28.97</v>
      </c>
      <c r="G106" s="1">
        <v>12.44</v>
      </c>
      <c r="H106" s="1">
        <v>90.2</v>
      </c>
      <c r="I106" s="1">
        <v>5.9</v>
      </c>
      <c r="J106" s="1">
        <v>70.319999999999993</v>
      </c>
      <c r="K106" s="1">
        <v>1064.29</v>
      </c>
      <c r="L106" s="1" t="s">
        <v>15</v>
      </c>
    </row>
    <row r="107" spans="1:12" x14ac:dyDescent="0.95">
      <c r="A107" s="1">
        <v>106</v>
      </c>
      <c r="B107" s="1" t="s">
        <v>14</v>
      </c>
      <c r="C107" s="1">
        <v>2017</v>
      </c>
      <c r="D107" s="1">
        <v>43426.19</v>
      </c>
      <c r="E107" s="1">
        <v>13.85</v>
      </c>
      <c r="F107" s="1">
        <v>39.22</v>
      </c>
      <c r="G107" s="1">
        <v>22.38</v>
      </c>
      <c r="H107" s="1">
        <v>79.39</v>
      </c>
      <c r="I107" s="1">
        <v>1.1299999999999999</v>
      </c>
      <c r="J107" s="1">
        <v>77.11</v>
      </c>
      <c r="K107" s="1">
        <v>56.02</v>
      </c>
      <c r="L107" s="1" t="s">
        <v>17</v>
      </c>
    </row>
    <row r="108" spans="1:12" x14ac:dyDescent="0.95">
      <c r="A108" s="1">
        <v>107</v>
      </c>
      <c r="B108" s="1" t="s">
        <v>14</v>
      </c>
      <c r="C108" s="1">
        <v>2018</v>
      </c>
      <c r="D108" s="1">
        <v>42397.16</v>
      </c>
      <c r="E108" s="1">
        <v>46.61</v>
      </c>
      <c r="F108" s="1">
        <v>25.82</v>
      </c>
      <c r="G108" s="1">
        <v>27.22</v>
      </c>
      <c r="H108" s="1">
        <v>91.63</v>
      </c>
      <c r="I108" s="1">
        <v>6.1</v>
      </c>
      <c r="J108" s="1">
        <v>58</v>
      </c>
      <c r="K108" s="1">
        <v>270.02</v>
      </c>
      <c r="L108" s="1" t="s">
        <v>15</v>
      </c>
    </row>
    <row r="109" spans="1:12" x14ac:dyDescent="0.95">
      <c r="A109" s="1">
        <v>108</v>
      </c>
      <c r="B109" s="1" t="s">
        <v>28</v>
      </c>
      <c r="C109" s="1">
        <v>2018</v>
      </c>
      <c r="D109" s="1">
        <v>36700.31</v>
      </c>
      <c r="E109" s="1">
        <v>46.29</v>
      </c>
      <c r="F109" s="1">
        <v>39.549999999999997</v>
      </c>
      <c r="G109" s="1">
        <v>27.27</v>
      </c>
      <c r="H109" s="1">
        <v>97.35</v>
      </c>
      <c r="I109" s="1">
        <v>7.04</v>
      </c>
      <c r="J109" s="1">
        <v>68.41</v>
      </c>
      <c r="K109" s="1">
        <v>439.77</v>
      </c>
      <c r="L109" s="1" t="s">
        <v>17</v>
      </c>
    </row>
    <row r="110" spans="1:12" x14ac:dyDescent="0.95">
      <c r="A110" s="1">
        <v>109</v>
      </c>
      <c r="B110" s="1" t="s">
        <v>32</v>
      </c>
      <c r="C110" s="1">
        <v>2018</v>
      </c>
      <c r="D110" s="1">
        <v>18649.560000000001</v>
      </c>
      <c r="E110" s="1">
        <v>43.58</v>
      </c>
      <c r="F110" s="1">
        <v>57.69</v>
      </c>
      <c r="G110" s="1">
        <v>16.440000000000001</v>
      </c>
      <c r="H110" s="1">
        <v>78.3</v>
      </c>
      <c r="I110" s="1">
        <v>6.8</v>
      </c>
      <c r="J110" s="1">
        <v>55.07</v>
      </c>
      <c r="K110" s="1">
        <v>1301.48</v>
      </c>
      <c r="L110" s="1" t="s">
        <v>13</v>
      </c>
    </row>
    <row r="111" spans="1:12" x14ac:dyDescent="0.95">
      <c r="A111" s="1">
        <v>110</v>
      </c>
      <c r="B111" s="1" t="s">
        <v>34</v>
      </c>
      <c r="C111" s="1">
        <v>2018</v>
      </c>
      <c r="D111" s="1">
        <v>23317.66</v>
      </c>
      <c r="E111" s="1">
        <v>49.03</v>
      </c>
      <c r="F111" s="1">
        <v>50.99</v>
      </c>
      <c r="G111" s="1">
        <v>24.08</v>
      </c>
      <c r="H111" s="1">
        <v>83.93</v>
      </c>
      <c r="I111" s="1">
        <v>14.64</v>
      </c>
      <c r="J111" s="1">
        <v>55.09</v>
      </c>
      <c r="K111" s="1">
        <v>536.35</v>
      </c>
      <c r="L111" s="1" t="s">
        <v>13</v>
      </c>
    </row>
    <row r="112" spans="1:12" x14ac:dyDescent="0.95">
      <c r="A112" s="1">
        <v>111</v>
      </c>
      <c r="B112" s="1" t="s">
        <v>26</v>
      </c>
      <c r="C112" s="1">
        <v>2018</v>
      </c>
      <c r="D112" s="1">
        <v>65581.91</v>
      </c>
      <c r="E112" s="1">
        <v>45.85</v>
      </c>
      <c r="F112" s="1">
        <v>47.8</v>
      </c>
      <c r="G112" s="1">
        <v>4.53</v>
      </c>
      <c r="H112" s="1">
        <v>82.06</v>
      </c>
      <c r="I112" s="1">
        <v>24.76</v>
      </c>
      <c r="J112" s="1">
        <v>56.62</v>
      </c>
      <c r="K112" s="1">
        <v>753.99</v>
      </c>
      <c r="L112" s="1" t="s">
        <v>17</v>
      </c>
    </row>
    <row r="113" spans="1:12" x14ac:dyDescent="0.95">
      <c r="A113" s="1">
        <v>112</v>
      </c>
      <c r="B113" s="1" t="s">
        <v>19</v>
      </c>
      <c r="C113" s="1">
        <v>2018</v>
      </c>
      <c r="D113" s="1">
        <v>2554.27</v>
      </c>
      <c r="E113" s="1">
        <v>62.65</v>
      </c>
      <c r="F113" s="1">
        <v>58.44</v>
      </c>
      <c r="G113" s="1">
        <v>20.100000000000001</v>
      </c>
      <c r="H113" s="1">
        <v>72.989999999999995</v>
      </c>
      <c r="I113" s="1">
        <v>5.16</v>
      </c>
      <c r="J113" s="1">
        <v>57.16</v>
      </c>
      <c r="K113" s="1">
        <v>366.6</v>
      </c>
      <c r="L113" s="1" t="s">
        <v>13</v>
      </c>
    </row>
    <row r="114" spans="1:12" x14ac:dyDescent="0.95">
      <c r="A114" s="1">
        <v>113</v>
      </c>
      <c r="B114" s="1" t="s">
        <v>30</v>
      </c>
      <c r="C114" s="1">
        <v>2018</v>
      </c>
      <c r="D114" s="1">
        <v>46381.599999999999</v>
      </c>
      <c r="E114" s="1">
        <v>12.26</v>
      </c>
      <c r="F114" s="1">
        <v>27.82</v>
      </c>
      <c r="G114" s="1">
        <v>18.7</v>
      </c>
      <c r="H114" s="1">
        <v>56.17</v>
      </c>
      <c r="I114" s="1">
        <v>15.06</v>
      </c>
      <c r="J114" s="1">
        <v>83.03</v>
      </c>
      <c r="K114" s="1">
        <v>836.56</v>
      </c>
      <c r="L114" s="1" t="s">
        <v>15</v>
      </c>
    </row>
    <row r="115" spans="1:12" x14ac:dyDescent="0.95">
      <c r="A115" s="1">
        <v>114</v>
      </c>
      <c r="B115" s="1" t="s">
        <v>18</v>
      </c>
      <c r="C115" s="1">
        <v>2018</v>
      </c>
      <c r="D115" s="1">
        <v>6670.77</v>
      </c>
      <c r="E115" s="1">
        <v>64.16</v>
      </c>
      <c r="F115" s="1">
        <v>39.97</v>
      </c>
      <c r="G115" s="1">
        <v>11.64</v>
      </c>
      <c r="H115" s="1">
        <v>90.76</v>
      </c>
      <c r="I115" s="1">
        <v>23.73</v>
      </c>
      <c r="J115" s="1">
        <v>84.54</v>
      </c>
      <c r="K115" s="1">
        <v>1093.6300000000001</v>
      </c>
      <c r="L115" s="1" t="s">
        <v>17</v>
      </c>
    </row>
    <row r="116" spans="1:12" x14ac:dyDescent="0.95">
      <c r="A116" s="1">
        <v>115</v>
      </c>
      <c r="B116" s="1" t="s">
        <v>34</v>
      </c>
      <c r="C116" s="1">
        <v>2018</v>
      </c>
      <c r="D116" s="1">
        <v>67382.34</v>
      </c>
      <c r="E116" s="1">
        <v>25.62</v>
      </c>
      <c r="F116" s="1">
        <v>36.43</v>
      </c>
      <c r="G116" s="1">
        <v>24.58</v>
      </c>
      <c r="H116" s="1">
        <v>64.84</v>
      </c>
      <c r="I116" s="1">
        <v>24.12</v>
      </c>
      <c r="J116" s="1">
        <v>52.4</v>
      </c>
      <c r="K116" s="1">
        <v>1406.47</v>
      </c>
      <c r="L116" s="1" t="s">
        <v>17</v>
      </c>
    </row>
    <row r="117" spans="1:12" x14ac:dyDescent="0.95">
      <c r="A117" s="1">
        <v>116</v>
      </c>
      <c r="B117" s="1" t="s">
        <v>23</v>
      </c>
      <c r="C117" s="1">
        <v>2018</v>
      </c>
      <c r="D117" s="1">
        <v>63367.78</v>
      </c>
      <c r="E117" s="1">
        <v>23.94</v>
      </c>
      <c r="F117" s="1">
        <v>45.56</v>
      </c>
      <c r="G117" s="1">
        <v>22.37</v>
      </c>
      <c r="H117" s="1">
        <v>72.45</v>
      </c>
      <c r="I117" s="1">
        <v>15.93</v>
      </c>
      <c r="J117" s="1">
        <v>80.459999999999994</v>
      </c>
      <c r="K117" s="1">
        <v>1377.06</v>
      </c>
      <c r="L117" s="1" t="s">
        <v>17</v>
      </c>
    </row>
    <row r="118" spans="1:12" x14ac:dyDescent="0.95">
      <c r="A118" s="1">
        <v>117</v>
      </c>
      <c r="B118" s="1" t="s">
        <v>26</v>
      </c>
      <c r="C118" s="1">
        <v>2018</v>
      </c>
      <c r="D118" s="1">
        <v>12490.31</v>
      </c>
      <c r="E118" s="1">
        <v>19.55</v>
      </c>
      <c r="F118" s="1">
        <v>32.08</v>
      </c>
      <c r="G118" s="1">
        <v>4.3099999999999996</v>
      </c>
      <c r="H118" s="1">
        <v>60.31</v>
      </c>
      <c r="I118" s="1">
        <v>12.06</v>
      </c>
      <c r="J118" s="1">
        <v>58.81</v>
      </c>
      <c r="K118" s="1">
        <v>531.37</v>
      </c>
      <c r="L118" s="1" t="s">
        <v>15</v>
      </c>
    </row>
    <row r="119" spans="1:12" x14ac:dyDescent="0.95">
      <c r="A119" s="1">
        <v>118</v>
      </c>
      <c r="B119" s="1" t="s">
        <v>29</v>
      </c>
      <c r="C119" s="1">
        <v>2018</v>
      </c>
      <c r="D119" s="1">
        <v>5026.59</v>
      </c>
      <c r="E119" s="1">
        <v>19.440000000000001</v>
      </c>
      <c r="F119" s="1">
        <v>57.25</v>
      </c>
      <c r="G119" s="1">
        <v>21.45</v>
      </c>
      <c r="H119" s="1">
        <v>63.12</v>
      </c>
      <c r="I119" s="1">
        <v>6.02</v>
      </c>
      <c r="J119" s="1">
        <v>64.23</v>
      </c>
      <c r="K119" s="1">
        <v>705.14</v>
      </c>
      <c r="L119" s="1" t="s">
        <v>13</v>
      </c>
    </row>
    <row r="120" spans="1:12" x14ac:dyDescent="0.95">
      <c r="A120" s="1">
        <v>119</v>
      </c>
      <c r="B120" s="1" t="s">
        <v>36</v>
      </c>
      <c r="C120" s="1">
        <v>2018</v>
      </c>
      <c r="D120" s="1">
        <v>2188.9299999999998</v>
      </c>
      <c r="E120" s="1">
        <v>22.29</v>
      </c>
      <c r="F120" s="1">
        <v>33.46</v>
      </c>
      <c r="G120" s="1">
        <v>10.51</v>
      </c>
      <c r="H120" s="1">
        <v>60.27</v>
      </c>
      <c r="I120" s="1">
        <v>22.37</v>
      </c>
      <c r="J120" s="1">
        <v>71.59</v>
      </c>
      <c r="K120" s="1">
        <v>986.3</v>
      </c>
      <c r="L120" s="1" t="s">
        <v>15</v>
      </c>
    </row>
    <row r="121" spans="1:12" x14ac:dyDescent="0.95">
      <c r="A121" s="1">
        <v>120</v>
      </c>
      <c r="B121" s="1" t="s">
        <v>12</v>
      </c>
      <c r="C121" s="1">
        <v>2018</v>
      </c>
      <c r="D121" s="1">
        <v>7843.35</v>
      </c>
      <c r="E121" s="1">
        <v>11.63</v>
      </c>
      <c r="F121" s="1">
        <v>34.840000000000003</v>
      </c>
      <c r="G121" s="1">
        <v>6.18</v>
      </c>
      <c r="H121" s="1">
        <v>63.21</v>
      </c>
      <c r="I121" s="1">
        <v>7.84</v>
      </c>
      <c r="J121" s="1">
        <v>57.72</v>
      </c>
      <c r="K121" s="1">
        <v>1300.83</v>
      </c>
      <c r="L121" s="1" t="s">
        <v>15</v>
      </c>
    </row>
    <row r="122" spans="1:12" x14ac:dyDescent="0.95">
      <c r="A122" s="1">
        <v>121</v>
      </c>
      <c r="B122" s="1" t="s">
        <v>31</v>
      </c>
      <c r="C122" s="1">
        <v>2018</v>
      </c>
      <c r="D122" s="1">
        <v>27957.200000000001</v>
      </c>
      <c r="E122" s="1">
        <v>53.45</v>
      </c>
      <c r="F122" s="1">
        <v>42.57</v>
      </c>
      <c r="G122" s="1">
        <v>11.8</v>
      </c>
      <c r="H122" s="1">
        <v>75.36</v>
      </c>
      <c r="I122" s="1">
        <v>8.23</v>
      </c>
      <c r="J122" s="1">
        <v>76.67</v>
      </c>
      <c r="K122" s="1">
        <v>731.43</v>
      </c>
      <c r="L122" s="1" t="s">
        <v>17</v>
      </c>
    </row>
    <row r="123" spans="1:12" x14ac:dyDescent="0.95">
      <c r="A123" s="1">
        <v>122</v>
      </c>
      <c r="B123" s="1" t="s">
        <v>27</v>
      </c>
      <c r="C123" s="1">
        <v>2018</v>
      </c>
      <c r="D123" s="1">
        <v>1706.14</v>
      </c>
      <c r="E123" s="1">
        <v>43.8</v>
      </c>
      <c r="F123" s="1">
        <v>32.119999999999997</v>
      </c>
      <c r="G123" s="1">
        <v>26.99</v>
      </c>
      <c r="H123" s="1">
        <v>61.54</v>
      </c>
      <c r="I123" s="1">
        <v>10.95</v>
      </c>
      <c r="J123" s="1">
        <v>54.82</v>
      </c>
      <c r="K123" s="1">
        <v>1445.48</v>
      </c>
      <c r="L123" s="1" t="s">
        <v>15</v>
      </c>
    </row>
    <row r="124" spans="1:12" x14ac:dyDescent="0.95">
      <c r="A124" s="1">
        <v>123</v>
      </c>
      <c r="B124" s="1" t="s">
        <v>16</v>
      </c>
      <c r="C124" s="1">
        <v>2018</v>
      </c>
      <c r="D124" s="1">
        <v>12935.69</v>
      </c>
      <c r="E124" s="1">
        <v>59.61</v>
      </c>
      <c r="F124" s="1">
        <v>41.75</v>
      </c>
      <c r="G124" s="1">
        <v>11.96</v>
      </c>
      <c r="H124" s="1">
        <v>77.83</v>
      </c>
      <c r="I124" s="1">
        <v>2.13</v>
      </c>
      <c r="J124" s="1">
        <v>57.49</v>
      </c>
      <c r="K124" s="1">
        <v>1071.46</v>
      </c>
      <c r="L124" s="1" t="s">
        <v>17</v>
      </c>
    </row>
    <row r="125" spans="1:12" x14ac:dyDescent="0.95">
      <c r="A125" s="1">
        <v>124</v>
      </c>
      <c r="B125" s="1" t="s">
        <v>35</v>
      </c>
      <c r="C125" s="1">
        <v>2018</v>
      </c>
      <c r="D125" s="1">
        <v>69647.62</v>
      </c>
      <c r="E125" s="1">
        <v>12.96</v>
      </c>
      <c r="F125" s="1">
        <v>40.85</v>
      </c>
      <c r="G125" s="1">
        <v>21.71</v>
      </c>
      <c r="H125" s="1">
        <v>85.62</v>
      </c>
      <c r="I125" s="1">
        <v>4.6900000000000004</v>
      </c>
      <c r="J125" s="1">
        <v>78.92</v>
      </c>
      <c r="K125" s="1">
        <v>329.32</v>
      </c>
      <c r="L125" s="1" t="s">
        <v>17</v>
      </c>
    </row>
    <row r="126" spans="1:12" x14ac:dyDescent="0.95">
      <c r="A126" s="1">
        <v>125</v>
      </c>
      <c r="B126" s="1" t="s">
        <v>30</v>
      </c>
      <c r="C126" s="1">
        <v>2018</v>
      </c>
      <c r="D126" s="1">
        <v>53271.81</v>
      </c>
      <c r="E126" s="1">
        <v>3.55</v>
      </c>
      <c r="F126" s="1">
        <v>25.88</v>
      </c>
      <c r="G126" s="1">
        <v>10.41</v>
      </c>
      <c r="H126" s="1">
        <v>76.5</v>
      </c>
      <c r="I126" s="1">
        <v>19.489999999999998</v>
      </c>
      <c r="J126" s="1">
        <v>74.55</v>
      </c>
      <c r="K126" s="1">
        <v>649.33000000000004</v>
      </c>
      <c r="L126" s="1" t="s">
        <v>15</v>
      </c>
    </row>
    <row r="127" spans="1:12" x14ac:dyDescent="0.95">
      <c r="A127" s="1">
        <v>126</v>
      </c>
      <c r="B127" s="1" t="s">
        <v>24</v>
      </c>
      <c r="C127" s="1">
        <v>2018</v>
      </c>
      <c r="D127" s="1">
        <v>19734.97</v>
      </c>
      <c r="E127" s="1">
        <v>64.819999999999993</v>
      </c>
      <c r="F127" s="1">
        <v>42.05</v>
      </c>
      <c r="G127" s="1">
        <v>13.74</v>
      </c>
      <c r="H127" s="1">
        <v>62.2</v>
      </c>
      <c r="I127" s="1">
        <v>20.079999999999998</v>
      </c>
      <c r="J127" s="1">
        <v>74.89</v>
      </c>
      <c r="K127" s="1">
        <v>324.01</v>
      </c>
      <c r="L127" s="1" t="s">
        <v>17</v>
      </c>
    </row>
    <row r="128" spans="1:12" x14ac:dyDescent="0.95">
      <c r="A128" s="1">
        <v>127</v>
      </c>
      <c r="B128" s="1" t="s">
        <v>28</v>
      </c>
      <c r="C128" s="1">
        <v>2018</v>
      </c>
      <c r="D128" s="1">
        <v>12547.25</v>
      </c>
      <c r="E128" s="1">
        <v>34.75</v>
      </c>
      <c r="F128" s="1">
        <v>38.479999999999997</v>
      </c>
      <c r="G128" s="1">
        <v>23.55</v>
      </c>
      <c r="H128" s="1">
        <v>73.959999999999994</v>
      </c>
      <c r="I128" s="1">
        <v>6.97</v>
      </c>
      <c r="J128" s="1">
        <v>72.37</v>
      </c>
      <c r="K128" s="1">
        <v>1026.29</v>
      </c>
      <c r="L128" s="1" t="s">
        <v>17</v>
      </c>
    </row>
    <row r="129" spans="1:12" x14ac:dyDescent="0.95">
      <c r="A129" s="1">
        <v>128</v>
      </c>
      <c r="B129" s="1" t="s">
        <v>16</v>
      </c>
      <c r="C129" s="1">
        <v>2018</v>
      </c>
      <c r="D129" s="1">
        <v>41306.519999999997</v>
      </c>
      <c r="E129" s="1">
        <v>56.7</v>
      </c>
      <c r="F129" s="1">
        <v>33.229999999999997</v>
      </c>
      <c r="G129" s="1">
        <v>4.91</v>
      </c>
      <c r="H129" s="1">
        <v>66.87</v>
      </c>
      <c r="I129" s="1">
        <v>2.37</v>
      </c>
      <c r="J129" s="1">
        <v>69.53</v>
      </c>
      <c r="K129" s="1">
        <v>1358.4</v>
      </c>
      <c r="L129" s="1" t="s">
        <v>15</v>
      </c>
    </row>
    <row r="130" spans="1:12" x14ac:dyDescent="0.95">
      <c r="A130" s="1">
        <v>129</v>
      </c>
      <c r="B130" s="1" t="s">
        <v>19</v>
      </c>
      <c r="C130" s="1">
        <v>2018</v>
      </c>
      <c r="D130" s="1">
        <v>69074.8</v>
      </c>
      <c r="E130" s="1">
        <v>62.8</v>
      </c>
      <c r="F130" s="1">
        <v>25.2</v>
      </c>
      <c r="G130" s="1">
        <v>26.75</v>
      </c>
      <c r="H130" s="1">
        <v>83.12</v>
      </c>
      <c r="I130" s="1">
        <v>21.83</v>
      </c>
      <c r="J130" s="1">
        <v>67.010000000000005</v>
      </c>
      <c r="K130" s="1">
        <v>750.04</v>
      </c>
      <c r="L130" s="1" t="s">
        <v>15</v>
      </c>
    </row>
    <row r="131" spans="1:12" x14ac:dyDescent="0.95">
      <c r="A131" s="1">
        <v>130</v>
      </c>
      <c r="B131" s="1" t="s">
        <v>23</v>
      </c>
      <c r="C131" s="1">
        <v>2018</v>
      </c>
      <c r="D131" s="1">
        <v>57394.13</v>
      </c>
      <c r="E131" s="1">
        <v>9.57</v>
      </c>
      <c r="F131" s="1">
        <v>46.78</v>
      </c>
      <c r="G131" s="1">
        <v>2.15</v>
      </c>
      <c r="H131" s="1">
        <v>69.28</v>
      </c>
      <c r="I131" s="1">
        <v>9.8000000000000007</v>
      </c>
      <c r="J131" s="1">
        <v>65.069999999999993</v>
      </c>
      <c r="K131" s="1">
        <v>1009.95</v>
      </c>
      <c r="L131" s="1" t="s">
        <v>17</v>
      </c>
    </row>
    <row r="132" spans="1:12" x14ac:dyDescent="0.95">
      <c r="A132" s="1">
        <v>131</v>
      </c>
      <c r="B132" s="1" t="s">
        <v>31</v>
      </c>
      <c r="C132" s="1">
        <v>2018</v>
      </c>
      <c r="D132" s="1">
        <v>27109.54</v>
      </c>
      <c r="E132" s="1">
        <v>27.13</v>
      </c>
      <c r="F132" s="1">
        <v>48.21</v>
      </c>
      <c r="G132" s="1">
        <v>15.87</v>
      </c>
      <c r="H132" s="1">
        <v>81.75</v>
      </c>
      <c r="I132" s="1">
        <v>19.36</v>
      </c>
      <c r="J132" s="1">
        <v>78.83</v>
      </c>
      <c r="K132" s="1">
        <v>1042.69</v>
      </c>
      <c r="L132" s="1" t="s">
        <v>17</v>
      </c>
    </row>
    <row r="133" spans="1:12" x14ac:dyDescent="0.95">
      <c r="A133" s="1">
        <v>132</v>
      </c>
      <c r="B133" s="1" t="s">
        <v>34</v>
      </c>
      <c r="C133" s="1">
        <v>2018</v>
      </c>
      <c r="D133" s="1">
        <v>4970.5</v>
      </c>
      <c r="E133" s="1">
        <v>60.87</v>
      </c>
      <c r="F133" s="1">
        <v>39.06</v>
      </c>
      <c r="G133" s="1">
        <v>4.6399999999999997</v>
      </c>
      <c r="H133" s="1">
        <v>76.38</v>
      </c>
      <c r="I133" s="1">
        <v>7.16</v>
      </c>
      <c r="J133" s="1">
        <v>61.4</v>
      </c>
      <c r="K133" s="1">
        <v>449.03</v>
      </c>
      <c r="L133" s="1" t="s">
        <v>17</v>
      </c>
    </row>
    <row r="134" spans="1:12" x14ac:dyDescent="0.95">
      <c r="A134" s="1">
        <v>133</v>
      </c>
      <c r="B134" s="1" t="s">
        <v>18</v>
      </c>
      <c r="C134" s="1">
        <v>2018</v>
      </c>
      <c r="D134" s="1">
        <v>57487.87</v>
      </c>
      <c r="E134" s="1">
        <v>57.71</v>
      </c>
      <c r="F134" s="1">
        <v>34.119999999999997</v>
      </c>
      <c r="G134" s="1">
        <v>7.51</v>
      </c>
      <c r="H134" s="1">
        <v>81.88</v>
      </c>
      <c r="I134" s="1">
        <v>10.86</v>
      </c>
      <c r="J134" s="1">
        <v>79.72</v>
      </c>
      <c r="K134" s="1">
        <v>1305.53</v>
      </c>
      <c r="L134" s="1" t="s">
        <v>15</v>
      </c>
    </row>
    <row r="135" spans="1:12" x14ac:dyDescent="0.95">
      <c r="A135" s="1">
        <v>134</v>
      </c>
      <c r="B135" s="1" t="s">
        <v>18</v>
      </c>
      <c r="C135" s="1">
        <v>2018</v>
      </c>
      <c r="D135" s="1">
        <v>2435.79</v>
      </c>
      <c r="E135" s="1">
        <v>42.44</v>
      </c>
      <c r="F135" s="1">
        <v>49.28</v>
      </c>
      <c r="G135" s="1">
        <v>16.21</v>
      </c>
      <c r="H135" s="1">
        <v>65.209999999999994</v>
      </c>
      <c r="I135" s="1">
        <v>10.38</v>
      </c>
      <c r="J135" s="1">
        <v>71.62</v>
      </c>
      <c r="K135" s="1">
        <v>722.83</v>
      </c>
      <c r="L135" s="1" t="s">
        <v>17</v>
      </c>
    </row>
    <row r="136" spans="1:12" x14ac:dyDescent="0.95">
      <c r="A136" s="1">
        <v>135</v>
      </c>
      <c r="B136" s="1" t="s">
        <v>22</v>
      </c>
      <c r="C136" s="1">
        <v>2018</v>
      </c>
      <c r="D136" s="1">
        <v>14077.22</v>
      </c>
      <c r="E136" s="1">
        <v>22.37</v>
      </c>
      <c r="F136" s="1">
        <v>34.07</v>
      </c>
      <c r="G136" s="1">
        <v>11.23</v>
      </c>
      <c r="H136" s="1">
        <v>58.05</v>
      </c>
      <c r="I136" s="1">
        <v>13.46</v>
      </c>
      <c r="J136" s="1">
        <v>54.23</v>
      </c>
      <c r="K136" s="1">
        <v>1161.52</v>
      </c>
      <c r="L136" s="1" t="s">
        <v>15</v>
      </c>
    </row>
    <row r="137" spans="1:12" x14ac:dyDescent="0.95">
      <c r="A137" s="1">
        <v>136</v>
      </c>
      <c r="B137" s="1" t="s">
        <v>12</v>
      </c>
      <c r="C137" s="1">
        <v>2018</v>
      </c>
      <c r="D137" s="1">
        <v>39123.120000000003</v>
      </c>
      <c r="E137" s="1">
        <v>21.25</v>
      </c>
      <c r="F137" s="1">
        <v>40.880000000000003</v>
      </c>
      <c r="G137" s="1">
        <v>13.63</v>
      </c>
      <c r="H137" s="1">
        <v>81.430000000000007</v>
      </c>
      <c r="I137" s="1">
        <v>13.38</v>
      </c>
      <c r="J137" s="1">
        <v>82.34</v>
      </c>
      <c r="K137" s="1">
        <v>723.11</v>
      </c>
      <c r="L137" s="1" t="s">
        <v>17</v>
      </c>
    </row>
    <row r="138" spans="1:12" x14ac:dyDescent="0.95">
      <c r="A138" s="1">
        <v>137</v>
      </c>
      <c r="B138" s="1" t="s">
        <v>33</v>
      </c>
      <c r="C138" s="1">
        <v>2018</v>
      </c>
      <c r="D138" s="1">
        <v>31925.1</v>
      </c>
      <c r="E138" s="1">
        <v>14.26</v>
      </c>
      <c r="F138" s="1">
        <v>39.71</v>
      </c>
      <c r="G138" s="1">
        <v>12.77</v>
      </c>
      <c r="H138" s="1">
        <v>91.41</v>
      </c>
      <c r="I138" s="1">
        <v>18.61</v>
      </c>
      <c r="J138" s="1">
        <v>77.39</v>
      </c>
      <c r="K138" s="1">
        <v>20.94</v>
      </c>
      <c r="L138" s="1" t="s">
        <v>17</v>
      </c>
    </row>
    <row r="139" spans="1:12" x14ac:dyDescent="0.95">
      <c r="A139" s="1">
        <v>138</v>
      </c>
      <c r="B139" s="1" t="s">
        <v>31</v>
      </c>
      <c r="C139" s="1">
        <v>2018</v>
      </c>
      <c r="D139" s="1">
        <v>48470.86</v>
      </c>
      <c r="E139" s="1">
        <v>57.02</v>
      </c>
      <c r="F139" s="1">
        <v>50.45</v>
      </c>
      <c r="G139" s="1">
        <v>21.79</v>
      </c>
      <c r="H139" s="1">
        <v>62.04</v>
      </c>
      <c r="I139" s="1">
        <v>12.08</v>
      </c>
      <c r="J139" s="1">
        <v>52.31</v>
      </c>
      <c r="K139" s="1">
        <v>361.45</v>
      </c>
      <c r="L139" s="1" t="s">
        <v>13</v>
      </c>
    </row>
    <row r="140" spans="1:12" x14ac:dyDescent="0.95">
      <c r="A140" s="1">
        <v>139</v>
      </c>
      <c r="B140" s="1" t="s">
        <v>26</v>
      </c>
      <c r="C140" s="1">
        <v>2018</v>
      </c>
      <c r="D140" s="1">
        <v>48936.78</v>
      </c>
      <c r="E140" s="1">
        <v>2.2000000000000002</v>
      </c>
      <c r="F140" s="1">
        <v>49.78</v>
      </c>
      <c r="G140" s="1">
        <v>11.24</v>
      </c>
      <c r="H140" s="1">
        <v>89.94</v>
      </c>
      <c r="I140" s="1">
        <v>3.23</v>
      </c>
      <c r="J140" s="1">
        <v>71.41</v>
      </c>
      <c r="K140" s="1">
        <v>700.01</v>
      </c>
      <c r="L140" s="1" t="s">
        <v>17</v>
      </c>
    </row>
    <row r="141" spans="1:12" x14ac:dyDescent="0.95">
      <c r="A141" s="1">
        <v>140</v>
      </c>
      <c r="B141" s="1" t="s">
        <v>29</v>
      </c>
      <c r="C141" s="1">
        <v>2018</v>
      </c>
      <c r="D141" s="1">
        <v>42197.19</v>
      </c>
      <c r="E141" s="1">
        <v>48.35</v>
      </c>
      <c r="F141" s="1">
        <v>64.930000000000007</v>
      </c>
      <c r="G141" s="1">
        <v>26.26</v>
      </c>
      <c r="H141" s="1">
        <v>83.27</v>
      </c>
      <c r="I141" s="1">
        <v>11.11</v>
      </c>
      <c r="J141" s="1">
        <v>72.989999999999995</v>
      </c>
      <c r="K141" s="1">
        <v>1140.27</v>
      </c>
      <c r="L141" s="1" t="s">
        <v>13</v>
      </c>
    </row>
    <row r="142" spans="1:12" x14ac:dyDescent="0.95">
      <c r="A142" s="1">
        <v>141</v>
      </c>
      <c r="B142" s="1" t="s">
        <v>26</v>
      </c>
      <c r="C142" s="1">
        <v>2019</v>
      </c>
      <c r="D142" s="1">
        <v>10826.73</v>
      </c>
      <c r="E142" s="1">
        <v>32.840000000000003</v>
      </c>
      <c r="F142" s="1">
        <v>64.430000000000007</v>
      </c>
      <c r="G142" s="1">
        <v>8.2899999999999991</v>
      </c>
      <c r="H142" s="1">
        <v>84.57</v>
      </c>
      <c r="I142" s="1">
        <v>19.28</v>
      </c>
      <c r="J142" s="1">
        <v>59.84</v>
      </c>
      <c r="K142" s="1">
        <v>1057.27</v>
      </c>
      <c r="L142" s="1" t="s">
        <v>13</v>
      </c>
    </row>
    <row r="143" spans="1:12" x14ac:dyDescent="0.95">
      <c r="A143" s="1">
        <v>142</v>
      </c>
      <c r="B143" s="1" t="s">
        <v>31</v>
      </c>
      <c r="C143" s="1">
        <v>2019</v>
      </c>
      <c r="D143" s="1">
        <v>48612.89</v>
      </c>
      <c r="E143" s="1">
        <v>26.36</v>
      </c>
      <c r="F143" s="1">
        <v>62.47</v>
      </c>
      <c r="G143" s="1">
        <v>5.58</v>
      </c>
      <c r="H143" s="1">
        <v>70.010000000000005</v>
      </c>
      <c r="I143" s="1">
        <v>3.72</v>
      </c>
      <c r="J143" s="1">
        <v>82.51</v>
      </c>
      <c r="K143" s="1">
        <v>1272.76</v>
      </c>
      <c r="L143" s="1" t="s">
        <v>13</v>
      </c>
    </row>
    <row r="144" spans="1:12" x14ac:dyDescent="0.95">
      <c r="A144" s="1">
        <v>143</v>
      </c>
      <c r="B144" s="1" t="s">
        <v>12</v>
      </c>
      <c r="C144" s="1">
        <v>2019</v>
      </c>
      <c r="D144" s="1">
        <v>20628.650000000001</v>
      </c>
      <c r="E144" s="1">
        <v>39.22</v>
      </c>
      <c r="F144" s="1">
        <v>26.22</v>
      </c>
      <c r="G144" s="1">
        <v>2.97</v>
      </c>
      <c r="H144" s="1">
        <v>91.19</v>
      </c>
      <c r="I144" s="1">
        <v>9.64</v>
      </c>
      <c r="J144" s="1">
        <v>56.19</v>
      </c>
      <c r="K144" s="1">
        <v>759.64</v>
      </c>
      <c r="L144" s="1" t="s">
        <v>15</v>
      </c>
    </row>
    <row r="145" spans="1:12" x14ac:dyDescent="0.95">
      <c r="A145" s="1">
        <v>144</v>
      </c>
      <c r="B145" s="1" t="s">
        <v>35</v>
      </c>
      <c r="C145" s="1">
        <v>2019</v>
      </c>
      <c r="D145" s="1">
        <v>54083.55</v>
      </c>
      <c r="E145" s="1">
        <v>15.6</v>
      </c>
      <c r="F145" s="1">
        <v>49.92</v>
      </c>
      <c r="G145" s="1">
        <v>4.22</v>
      </c>
      <c r="H145" s="1">
        <v>57.27</v>
      </c>
      <c r="I145" s="1">
        <v>13.75</v>
      </c>
      <c r="J145" s="1">
        <v>69.84</v>
      </c>
      <c r="K145" s="1">
        <v>926.09</v>
      </c>
      <c r="L145" s="1" t="s">
        <v>17</v>
      </c>
    </row>
    <row r="146" spans="1:12" x14ac:dyDescent="0.95">
      <c r="A146" s="1">
        <v>145</v>
      </c>
      <c r="B146" s="1" t="s">
        <v>16</v>
      </c>
      <c r="C146" s="1">
        <v>2019</v>
      </c>
      <c r="D146" s="1">
        <v>14348.75</v>
      </c>
      <c r="E146" s="1">
        <v>6.37</v>
      </c>
      <c r="F146" s="1">
        <v>29.03</v>
      </c>
      <c r="G146" s="1">
        <v>2.4700000000000002</v>
      </c>
      <c r="H146" s="1">
        <v>59.16</v>
      </c>
      <c r="I146" s="1">
        <v>17.39</v>
      </c>
      <c r="J146" s="1">
        <v>54.35</v>
      </c>
      <c r="K146" s="1">
        <v>465.92</v>
      </c>
      <c r="L146" s="1" t="s">
        <v>15</v>
      </c>
    </row>
    <row r="147" spans="1:12" x14ac:dyDescent="0.95">
      <c r="A147" s="1">
        <v>146</v>
      </c>
      <c r="B147" s="1" t="s">
        <v>27</v>
      </c>
      <c r="C147" s="1">
        <v>2019</v>
      </c>
      <c r="D147" s="1">
        <v>21090.19</v>
      </c>
      <c r="E147" s="1">
        <v>22.71</v>
      </c>
      <c r="F147" s="1">
        <v>51.9</v>
      </c>
      <c r="G147" s="1">
        <v>21.56</v>
      </c>
      <c r="H147" s="1">
        <v>89.83</v>
      </c>
      <c r="I147" s="1">
        <v>19.95</v>
      </c>
      <c r="J147" s="1">
        <v>55.01</v>
      </c>
      <c r="K147" s="1">
        <v>719.44</v>
      </c>
      <c r="L147" s="1" t="s">
        <v>13</v>
      </c>
    </row>
    <row r="148" spans="1:12" x14ac:dyDescent="0.95">
      <c r="A148" s="1">
        <v>147</v>
      </c>
      <c r="B148" s="1" t="s">
        <v>30</v>
      </c>
      <c r="C148" s="1">
        <v>2019</v>
      </c>
      <c r="D148" s="1">
        <v>66568.47</v>
      </c>
      <c r="E148" s="1">
        <v>58.09</v>
      </c>
      <c r="F148" s="1">
        <v>43.23</v>
      </c>
      <c r="G148" s="1">
        <v>18.12</v>
      </c>
      <c r="H148" s="1">
        <v>67.2</v>
      </c>
      <c r="I148" s="1">
        <v>5.51</v>
      </c>
      <c r="J148" s="1">
        <v>67.3</v>
      </c>
      <c r="K148" s="1">
        <v>515.59</v>
      </c>
      <c r="L148" s="1" t="s">
        <v>17</v>
      </c>
    </row>
    <row r="149" spans="1:12" x14ac:dyDescent="0.95">
      <c r="A149" s="1">
        <v>148</v>
      </c>
      <c r="B149" s="1" t="s">
        <v>26</v>
      </c>
      <c r="C149" s="1">
        <v>2019</v>
      </c>
      <c r="D149" s="1">
        <v>35636.480000000003</v>
      </c>
      <c r="E149" s="1">
        <v>45.49</v>
      </c>
      <c r="F149" s="1">
        <v>26.57</v>
      </c>
      <c r="G149" s="1">
        <v>22.78</v>
      </c>
      <c r="H149" s="1">
        <v>82.63</v>
      </c>
      <c r="I149" s="1">
        <v>2.96</v>
      </c>
      <c r="J149" s="1">
        <v>80.83</v>
      </c>
      <c r="K149" s="1">
        <v>1335.66</v>
      </c>
      <c r="L149" s="1" t="s">
        <v>15</v>
      </c>
    </row>
    <row r="150" spans="1:12" x14ac:dyDescent="0.95">
      <c r="A150" s="1">
        <v>149</v>
      </c>
      <c r="B150" s="1" t="s">
        <v>18</v>
      </c>
      <c r="C150" s="1">
        <v>2019</v>
      </c>
      <c r="D150" s="1">
        <v>54048.91</v>
      </c>
      <c r="E150" s="1">
        <v>13.78</v>
      </c>
      <c r="F150" s="1">
        <v>37.950000000000003</v>
      </c>
      <c r="G150" s="1">
        <v>13.06</v>
      </c>
      <c r="H150" s="1">
        <v>77.33</v>
      </c>
      <c r="I150" s="1">
        <v>6.82</v>
      </c>
      <c r="J150" s="1">
        <v>55.79</v>
      </c>
      <c r="K150" s="1">
        <v>887.35</v>
      </c>
      <c r="L150" s="1" t="s">
        <v>17</v>
      </c>
    </row>
    <row r="151" spans="1:12" x14ac:dyDescent="0.95">
      <c r="A151" s="1">
        <v>150</v>
      </c>
      <c r="B151" s="1" t="s">
        <v>30</v>
      </c>
      <c r="C151" s="1">
        <v>2019</v>
      </c>
      <c r="D151" s="1">
        <v>35551.89</v>
      </c>
      <c r="E151" s="1">
        <v>39.51</v>
      </c>
      <c r="F151" s="1">
        <v>27.68</v>
      </c>
      <c r="G151" s="1">
        <v>21.5</v>
      </c>
      <c r="H151" s="1">
        <v>64.239999999999995</v>
      </c>
      <c r="I151" s="1">
        <v>22.55</v>
      </c>
      <c r="J151" s="1">
        <v>58.77</v>
      </c>
      <c r="K151" s="1">
        <v>280.54000000000002</v>
      </c>
      <c r="L151" s="1" t="s">
        <v>15</v>
      </c>
    </row>
    <row r="152" spans="1:12" x14ac:dyDescent="0.95">
      <c r="A152" s="1">
        <v>151</v>
      </c>
      <c r="B152" s="1" t="s">
        <v>20</v>
      </c>
      <c r="C152" s="1">
        <v>2019</v>
      </c>
      <c r="D152" s="1">
        <v>16790.38</v>
      </c>
      <c r="E152" s="1">
        <v>44.33</v>
      </c>
      <c r="F152" s="1">
        <v>25.79</v>
      </c>
      <c r="G152" s="1">
        <v>4.71</v>
      </c>
      <c r="H152" s="1">
        <v>90.2</v>
      </c>
      <c r="I152" s="1">
        <v>5.29</v>
      </c>
      <c r="J152" s="1">
        <v>73.540000000000006</v>
      </c>
      <c r="K152" s="1">
        <v>349.17</v>
      </c>
      <c r="L152" s="1" t="s">
        <v>15</v>
      </c>
    </row>
    <row r="153" spans="1:12" x14ac:dyDescent="0.95">
      <c r="A153" s="1">
        <v>152</v>
      </c>
      <c r="B153" s="1" t="s">
        <v>33</v>
      </c>
      <c r="C153" s="1">
        <v>2019</v>
      </c>
      <c r="D153" s="1">
        <v>2072.63</v>
      </c>
      <c r="E153" s="1">
        <v>59.6</v>
      </c>
      <c r="F153" s="1">
        <v>29.71</v>
      </c>
      <c r="G153" s="1">
        <v>16.989999999999998</v>
      </c>
      <c r="H153" s="1">
        <v>67.06</v>
      </c>
      <c r="I153" s="1">
        <v>14.3</v>
      </c>
      <c r="J153" s="1">
        <v>73.5</v>
      </c>
      <c r="K153" s="1">
        <v>1203.98</v>
      </c>
      <c r="L153" s="1" t="s">
        <v>15</v>
      </c>
    </row>
    <row r="154" spans="1:12" x14ac:dyDescent="0.95">
      <c r="A154" s="1">
        <v>153</v>
      </c>
      <c r="B154" s="1" t="s">
        <v>36</v>
      </c>
      <c r="C154" s="1">
        <v>2019</v>
      </c>
      <c r="D154" s="1">
        <v>29957.9</v>
      </c>
      <c r="E154" s="1">
        <v>48.47</v>
      </c>
      <c r="F154" s="1">
        <v>34.549999999999997</v>
      </c>
      <c r="G154" s="1">
        <v>4.87</v>
      </c>
      <c r="H154" s="1">
        <v>70.599999999999994</v>
      </c>
      <c r="I154" s="1">
        <v>7.89</v>
      </c>
      <c r="J154" s="1">
        <v>61.78</v>
      </c>
      <c r="K154" s="1">
        <v>342.56</v>
      </c>
      <c r="L154" s="1" t="s">
        <v>15</v>
      </c>
    </row>
    <row r="155" spans="1:12" x14ac:dyDescent="0.95">
      <c r="A155" s="1">
        <v>154</v>
      </c>
      <c r="B155" s="1" t="s">
        <v>33</v>
      </c>
      <c r="C155" s="1">
        <v>2019</v>
      </c>
      <c r="D155" s="1">
        <v>1604.14</v>
      </c>
      <c r="E155" s="1">
        <v>6.56</v>
      </c>
      <c r="F155" s="1">
        <v>40.700000000000003</v>
      </c>
      <c r="G155" s="1">
        <v>14.48</v>
      </c>
      <c r="H155" s="1">
        <v>81.400000000000006</v>
      </c>
      <c r="I155" s="1">
        <v>8</v>
      </c>
      <c r="J155" s="1">
        <v>74.930000000000007</v>
      </c>
      <c r="K155" s="1">
        <v>1247.8800000000001</v>
      </c>
      <c r="L155" s="1" t="s">
        <v>17</v>
      </c>
    </row>
    <row r="156" spans="1:12" x14ac:dyDescent="0.95">
      <c r="A156" s="1">
        <v>155</v>
      </c>
      <c r="B156" s="1" t="s">
        <v>22</v>
      </c>
      <c r="C156" s="1">
        <v>2019</v>
      </c>
      <c r="D156" s="1">
        <v>12359.3</v>
      </c>
      <c r="E156" s="1">
        <v>12.56</v>
      </c>
      <c r="F156" s="1">
        <v>26.47</v>
      </c>
      <c r="G156" s="1">
        <v>21.15</v>
      </c>
      <c r="H156" s="1">
        <v>84.21</v>
      </c>
      <c r="I156" s="1">
        <v>12.39</v>
      </c>
      <c r="J156" s="1">
        <v>79.86</v>
      </c>
      <c r="K156" s="1">
        <v>1169.19</v>
      </c>
      <c r="L156" s="1" t="s">
        <v>15</v>
      </c>
    </row>
    <row r="157" spans="1:12" x14ac:dyDescent="0.95">
      <c r="A157" s="1">
        <v>156</v>
      </c>
      <c r="B157" s="1" t="s">
        <v>24</v>
      </c>
      <c r="C157" s="1">
        <v>2019</v>
      </c>
      <c r="D157" s="1">
        <v>34628.18</v>
      </c>
      <c r="E157" s="1">
        <v>44.01</v>
      </c>
      <c r="F157" s="1">
        <v>30.59</v>
      </c>
      <c r="G157" s="1">
        <v>2.78</v>
      </c>
      <c r="H157" s="1">
        <v>68.55</v>
      </c>
      <c r="I157" s="1">
        <v>17.91</v>
      </c>
      <c r="J157" s="1">
        <v>58.66</v>
      </c>
      <c r="K157" s="1">
        <v>978.11</v>
      </c>
      <c r="L157" s="1" t="s">
        <v>15</v>
      </c>
    </row>
    <row r="158" spans="1:12" x14ac:dyDescent="0.95">
      <c r="A158" s="1">
        <v>157</v>
      </c>
      <c r="B158" s="1" t="s">
        <v>18</v>
      </c>
      <c r="C158" s="1">
        <v>2019</v>
      </c>
      <c r="D158" s="1">
        <v>27688.22</v>
      </c>
      <c r="E158" s="1">
        <v>30.27</v>
      </c>
      <c r="F158" s="1">
        <v>34.5</v>
      </c>
      <c r="G158" s="1">
        <v>11.7</v>
      </c>
      <c r="H158" s="1">
        <v>65</v>
      </c>
      <c r="I158" s="1">
        <v>2.76</v>
      </c>
      <c r="J158" s="1">
        <v>71.91</v>
      </c>
      <c r="K158" s="1">
        <v>970.57</v>
      </c>
      <c r="L158" s="1" t="s">
        <v>15</v>
      </c>
    </row>
    <row r="159" spans="1:12" x14ac:dyDescent="0.95">
      <c r="A159" s="1">
        <v>158</v>
      </c>
      <c r="B159" s="1" t="s">
        <v>22</v>
      </c>
      <c r="C159" s="1">
        <v>2019</v>
      </c>
      <c r="D159" s="1">
        <v>9684.8799999999992</v>
      </c>
      <c r="E159" s="1">
        <v>8.56</v>
      </c>
      <c r="F159" s="1">
        <v>53.97</v>
      </c>
      <c r="G159" s="1">
        <v>17.04</v>
      </c>
      <c r="H159" s="1">
        <v>67.06</v>
      </c>
      <c r="I159" s="1">
        <v>2.91</v>
      </c>
      <c r="J159" s="1">
        <v>54.83</v>
      </c>
      <c r="K159" s="1">
        <v>1297.1099999999999</v>
      </c>
      <c r="L159" s="1" t="s">
        <v>13</v>
      </c>
    </row>
    <row r="160" spans="1:12" x14ac:dyDescent="0.95">
      <c r="A160" s="1">
        <v>159</v>
      </c>
      <c r="B160" s="1" t="s">
        <v>14</v>
      </c>
      <c r="C160" s="1">
        <v>2019</v>
      </c>
      <c r="D160" s="1">
        <v>38165.03</v>
      </c>
      <c r="E160" s="1">
        <v>55.05</v>
      </c>
      <c r="F160" s="1">
        <v>45.84</v>
      </c>
      <c r="G160" s="1">
        <v>18.21</v>
      </c>
      <c r="H160" s="1">
        <v>58.92</v>
      </c>
      <c r="I160" s="1">
        <v>19.13</v>
      </c>
      <c r="J160" s="1">
        <v>56.21</v>
      </c>
      <c r="K160" s="1">
        <v>1198.67</v>
      </c>
      <c r="L160" s="1" t="s">
        <v>17</v>
      </c>
    </row>
    <row r="161" spans="1:12" x14ac:dyDescent="0.95">
      <c r="A161" s="1">
        <v>160</v>
      </c>
      <c r="B161" s="1" t="s">
        <v>36</v>
      </c>
      <c r="C161" s="1">
        <v>2019</v>
      </c>
      <c r="D161" s="1">
        <v>45358.17</v>
      </c>
      <c r="E161" s="1">
        <v>35.409999999999997</v>
      </c>
      <c r="F161" s="1">
        <v>26.68</v>
      </c>
      <c r="G161" s="1">
        <v>27.18</v>
      </c>
      <c r="H161" s="1">
        <v>90.14</v>
      </c>
      <c r="I161" s="1">
        <v>8.0299999999999994</v>
      </c>
      <c r="J161" s="1">
        <v>84.34</v>
      </c>
      <c r="K161" s="1">
        <v>874.72</v>
      </c>
      <c r="L161" s="1" t="s">
        <v>15</v>
      </c>
    </row>
    <row r="162" spans="1:12" x14ac:dyDescent="0.95">
      <c r="A162" s="1">
        <v>161</v>
      </c>
      <c r="B162" s="1" t="s">
        <v>30</v>
      </c>
      <c r="C162" s="1">
        <v>2019</v>
      </c>
      <c r="D162" s="1">
        <v>52404.78</v>
      </c>
      <c r="E162" s="1">
        <v>14.76</v>
      </c>
      <c r="F162" s="1">
        <v>63.32</v>
      </c>
      <c r="G162" s="1">
        <v>11.57</v>
      </c>
      <c r="H162" s="1">
        <v>69.38</v>
      </c>
      <c r="I162" s="1">
        <v>4.57</v>
      </c>
      <c r="J162" s="1">
        <v>62.08</v>
      </c>
      <c r="K162" s="1">
        <v>1271.76</v>
      </c>
      <c r="L162" s="1" t="s">
        <v>13</v>
      </c>
    </row>
    <row r="163" spans="1:12" x14ac:dyDescent="0.95">
      <c r="A163" s="1">
        <v>162</v>
      </c>
      <c r="B163" s="1" t="s">
        <v>21</v>
      </c>
      <c r="C163" s="1">
        <v>2019</v>
      </c>
      <c r="D163" s="1">
        <v>10036.81</v>
      </c>
      <c r="E163" s="1">
        <v>7.08</v>
      </c>
      <c r="F163" s="1">
        <v>54.12</v>
      </c>
      <c r="G163" s="1">
        <v>14.91</v>
      </c>
      <c r="H163" s="1">
        <v>74.22</v>
      </c>
      <c r="I163" s="1">
        <v>18.510000000000002</v>
      </c>
      <c r="J163" s="1">
        <v>77.260000000000005</v>
      </c>
      <c r="K163" s="1">
        <v>234.62</v>
      </c>
      <c r="L163" s="1" t="s">
        <v>13</v>
      </c>
    </row>
    <row r="164" spans="1:12" x14ac:dyDescent="0.95">
      <c r="A164" s="1">
        <v>163</v>
      </c>
      <c r="B164" s="1" t="s">
        <v>36</v>
      </c>
      <c r="C164" s="1">
        <v>2019</v>
      </c>
      <c r="D164" s="1">
        <v>43027.58</v>
      </c>
      <c r="E164" s="1">
        <v>10.53</v>
      </c>
      <c r="F164" s="1">
        <v>55.06</v>
      </c>
      <c r="G164" s="1">
        <v>19.079999999999998</v>
      </c>
      <c r="H164" s="1">
        <v>97.09</v>
      </c>
      <c r="I164" s="1">
        <v>2.65</v>
      </c>
      <c r="J164" s="1">
        <v>53.88</v>
      </c>
      <c r="K164" s="1">
        <v>412.76</v>
      </c>
      <c r="L164" s="1" t="s">
        <v>13</v>
      </c>
    </row>
    <row r="165" spans="1:12" x14ac:dyDescent="0.95">
      <c r="A165" s="1">
        <v>164</v>
      </c>
      <c r="B165" s="1" t="s">
        <v>27</v>
      </c>
      <c r="C165" s="1">
        <v>2020</v>
      </c>
      <c r="D165" s="1">
        <v>1281.0899999999999</v>
      </c>
      <c r="E165" s="1">
        <v>34.18</v>
      </c>
      <c r="F165" s="1">
        <v>41.7</v>
      </c>
      <c r="G165" s="1">
        <v>7.77</v>
      </c>
      <c r="H165" s="1">
        <v>60.27</v>
      </c>
      <c r="I165" s="1">
        <v>9.1</v>
      </c>
      <c r="J165" s="1">
        <v>83.12</v>
      </c>
      <c r="K165" s="1">
        <v>472.03</v>
      </c>
      <c r="L165" s="1" t="s">
        <v>17</v>
      </c>
    </row>
    <row r="166" spans="1:12" x14ac:dyDescent="0.95">
      <c r="A166" s="1">
        <v>165</v>
      </c>
      <c r="B166" s="1" t="s">
        <v>29</v>
      </c>
      <c r="C166" s="1">
        <v>2020</v>
      </c>
      <c r="D166" s="1">
        <v>60801.4</v>
      </c>
      <c r="E166" s="1">
        <v>59.53</v>
      </c>
      <c r="F166" s="1">
        <v>45.45</v>
      </c>
      <c r="G166" s="1">
        <v>15.04</v>
      </c>
      <c r="H166" s="1">
        <v>90.12</v>
      </c>
      <c r="I166" s="1">
        <v>16.600000000000001</v>
      </c>
      <c r="J166" s="1">
        <v>75.16</v>
      </c>
      <c r="K166" s="1">
        <v>1154.92</v>
      </c>
      <c r="L166" s="1" t="s">
        <v>17</v>
      </c>
    </row>
    <row r="167" spans="1:12" x14ac:dyDescent="0.95">
      <c r="A167" s="1">
        <v>166</v>
      </c>
      <c r="B167" s="1" t="s">
        <v>28</v>
      </c>
      <c r="C167" s="1">
        <v>2020</v>
      </c>
      <c r="D167" s="1">
        <v>26543.65</v>
      </c>
      <c r="E167" s="1">
        <v>50.91</v>
      </c>
      <c r="F167" s="1">
        <v>38.630000000000003</v>
      </c>
      <c r="G167" s="1">
        <v>26.2</v>
      </c>
      <c r="H167" s="1">
        <v>92.77</v>
      </c>
      <c r="I167" s="1">
        <v>11.3</v>
      </c>
      <c r="J167" s="1">
        <v>76.78</v>
      </c>
      <c r="K167" s="1">
        <v>1095.31</v>
      </c>
      <c r="L167" s="1" t="s">
        <v>17</v>
      </c>
    </row>
    <row r="168" spans="1:12" x14ac:dyDescent="0.95">
      <c r="A168" s="1">
        <v>167</v>
      </c>
      <c r="B168" s="1" t="s">
        <v>19</v>
      </c>
      <c r="C168" s="1">
        <v>2020</v>
      </c>
      <c r="D168" s="1">
        <v>59595.6</v>
      </c>
      <c r="E168" s="1">
        <v>17.579999999999998</v>
      </c>
      <c r="F168" s="1">
        <v>43.02</v>
      </c>
      <c r="G168" s="1">
        <v>5.36</v>
      </c>
      <c r="H168" s="1">
        <v>96.98</v>
      </c>
      <c r="I168" s="1">
        <v>15.55</v>
      </c>
      <c r="J168" s="1">
        <v>59.55</v>
      </c>
      <c r="K168" s="1">
        <v>975.61</v>
      </c>
      <c r="L168" s="1" t="s">
        <v>17</v>
      </c>
    </row>
    <row r="169" spans="1:12" x14ac:dyDescent="0.95">
      <c r="A169" s="1">
        <v>168</v>
      </c>
      <c r="B169" s="1" t="s">
        <v>30</v>
      </c>
      <c r="C169" s="1">
        <v>2020</v>
      </c>
      <c r="D169" s="1">
        <v>38991.949999999997</v>
      </c>
      <c r="E169" s="1">
        <v>37.340000000000003</v>
      </c>
      <c r="F169" s="1">
        <v>60.07</v>
      </c>
      <c r="G169" s="1">
        <v>12.49</v>
      </c>
      <c r="H169" s="1">
        <v>60.9</v>
      </c>
      <c r="I169" s="1">
        <v>1.69</v>
      </c>
      <c r="J169" s="1">
        <v>76.92</v>
      </c>
      <c r="K169" s="1">
        <v>901.35</v>
      </c>
      <c r="L169" s="1" t="s">
        <v>13</v>
      </c>
    </row>
    <row r="170" spans="1:12" x14ac:dyDescent="0.95">
      <c r="A170" s="1">
        <v>169</v>
      </c>
      <c r="B170" s="1" t="s">
        <v>32</v>
      </c>
      <c r="C170" s="1">
        <v>2020</v>
      </c>
      <c r="D170" s="1">
        <v>41716.26</v>
      </c>
      <c r="E170" s="1">
        <v>27.14</v>
      </c>
      <c r="F170" s="1">
        <v>27.19</v>
      </c>
      <c r="G170" s="1">
        <v>10.72</v>
      </c>
      <c r="H170" s="1">
        <v>90.33</v>
      </c>
      <c r="I170" s="1">
        <v>1.1100000000000001</v>
      </c>
      <c r="J170" s="1">
        <v>63.01</v>
      </c>
      <c r="K170" s="1">
        <v>580.35</v>
      </c>
      <c r="L170" s="1" t="s">
        <v>15</v>
      </c>
    </row>
    <row r="171" spans="1:12" x14ac:dyDescent="0.95">
      <c r="A171" s="1">
        <v>170</v>
      </c>
      <c r="B171" s="1" t="s">
        <v>19</v>
      </c>
      <c r="C171" s="1">
        <v>2020</v>
      </c>
      <c r="D171" s="1">
        <v>13295.81</v>
      </c>
      <c r="E171" s="1">
        <v>37.78</v>
      </c>
      <c r="F171" s="1">
        <v>61.62</v>
      </c>
      <c r="G171" s="1">
        <v>2.88</v>
      </c>
      <c r="H171" s="1">
        <v>85.69</v>
      </c>
      <c r="I171" s="1">
        <v>8.14</v>
      </c>
      <c r="J171" s="1">
        <v>82.51</v>
      </c>
      <c r="K171" s="1">
        <v>1408.18</v>
      </c>
      <c r="L171" s="1" t="s">
        <v>13</v>
      </c>
    </row>
    <row r="172" spans="1:12" x14ac:dyDescent="0.95">
      <c r="A172" s="1">
        <v>171</v>
      </c>
      <c r="B172" s="1" t="s">
        <v>31</v>
      </c>
      <c r="C172" s="1">
        <v>2020</v>
      </c>
      <c r="D172" s="1">
        <v>66143.240000000005</v>
      </c>
      <c r="E172" s="1">
        <v>31.88</v>
      </c>
      <c r="F172" s="1">
        <v>59.48</v>
      </c>
      <c r="G172" s="1">
        <v>23.96</v>
      </c>
      <c r="H172" s="1">
        <v>69.040000000000006</v>
      </c>
      <c r="I172" s="1">
        <v>20.89</v>
      </c>
      <c r="J172" s="1">
        <v>53.22</v>
      </c>
      <c r="K172" s="1">
        <v>866.61</v>
      </c>
      <c r="L172" s="1" t="s">
        <v>13</v>
      </c>
    </row>
    <row r="173" spans="1:12" x14ac:dyDescent="0.95">
      <c r="A173" s="1">
        <v>172</v>
      </c>
      <c r="B173" s="1" t="s">
        <v>33</v>
      </c>
      <c r="C173" s="1">
        <v>2020</v>
      </c>
      <c r="D173" s="1">
        <v>53889.43</v>
      </c>
      <c r="E173" s="1">
        <v>27.32</v>
      </c>
      <c r="F173" s="1">
        <v>44.2</v>
      </c>
      <c r="G173" s="1">
        <v>18.32</v>
      </c>
      <c r="H173" s="1">
        <v>93.44</v>
      </c>
      <c r="I173" s="1">
        <v>24.62</v>
      </c>
      <c r="J173" s="1">
        <v>77.349999999999994</v>
      </c>
      <c r="K173" s="1">
        <v>608.66999999999996</v>
      </c>
      <c r="L173" s="1" t="s">
        <v>17</v>
      </c>
    </row>
    <row r="174" spans="1:12" x14ac:dyDescent="0.95">
      <c r="A174" s="1">
        <v>173</v>
      </c>
      <c r="B174" s="1" t="s">
        <v>18</v>
      </c>
      <c r="C174" s="1">
        <v>2020</v>
      </c>
      <c r="D174" s="1">
        <v>16057.65</v>
      </c>
      <c r="E174" s="1">
        <v>13.75</v>
      </c>
      <c r="F174" s="1">
        <v>56.18</v>
      </c>
      <c r="G174" s="1">
        <v>11.1</v>
      </c>
      <c r="H174" s="1">
        <v>57.55</v>
      </c>
      <c r="I174" s="1">
        <v>24.26</v>
      </c>
      <c r="J174" s="1">
        <v>81.16</v>
      </c>
      <c r="K174" s="1">
        <v>1345.6</v>
      </c>
      <c r="L174" s="1" t="s">
        <v>13</v>
      </c>
    </row>
    <row r="175" spans="1:12" x14ac:dyDescent="0.95">
      <c r="A175" s="1">
        <v>174</v>
      </c>
      <c r="B175" s="1" t="s">
        <v>35</v>
      </c>
      <c r="C175" s="1">
        <v>2020</v>
      </c>
      <c r="D175" s="1">
        <v>57946.52</v>
      </c>
      <c r="E175" s="1">
        <v>10.119999999999999</v>
      </c>
      <c r="F175" s="1">
        <v>38.4</v>
      </c>
      <c r="G175" s="1">
        <v>21.33</v>
      </c>
      <c r="H175" s="1">
        <v>62.07</v>
      </c>
      <c r="I175" s="1">
        <v>20.63</v>
      </c>
      <c r="J175" s="1">
        <v>79.459999999999994</v>
      </c>
      <c r="K175" s="1">
        <v>738.29</v>
      </c>
      <c r="L175" s="1" t="s">
        <v>17</v>
      </c>
    </row>
    <row r="176" spans="1:12" x14ac:dyDescent="0.95">
      <c r="A176" s="1">
        <v>175</v>
      </c>
      <c r="B176" s="1" t="s">
        <v>22</v>
      </c>
      <c r="C176" s="1">
        <v>2020</v>
      </c>
      <c r="D176" s="1">
        <v>54765.3</v>
      </c>
      <c r="E176" s="1">
        <v>8.74</v>
      </c>
      <c r="F176" s="1">
        <v>55.44</v>
      </c>
      <c r="G176" s="1">
        <v>16.07</v>
      </c>
      <c r="H176" s="1">
        <v>97.37</v>
      </c>
      <c r="I176" s="1">
        <v>9.1999999999999993</v>
      </c>
      <c r="J176" s="1">
        <v>72.88</v>
      </c>
      <c r="K176" s="1">
        <v>1351.78</v>
      </c>
      <c r="L176" s="1" t="s">
        <v>13</v>
      </c>
    </row>
    <row r="177" spans="1:12" x14ac:dyDescent="0.95">
      <c r="A177" s="1">
        <v>176</v>
      </c>
      <c r="B177" s="1" t="s">
        <v>20</v>
      </c>
      <c r="C177" s="1">
        <v>2020</v>
      </c>
      <c r="D177" s="1">
        <v>13234.07</v>
      </c>
      <c r="E177" s="1">
        <v>16.97</v>
      </c>
      <c r="F177" s="1">
        <v>63.86</v>
      </c>
      <c r="G177" s="1">
        <v>6.71</v>
      </c>
      <c r="H177" s="1">
        <v>92.59</v>
      </c>
      <c r="I177" s="1">
        <v>12.81</v>
      </c>
      <c r="J177" s="1">
        <v>60.16</v>
      </c>
      <c r="K177" s="1">
        <v>1263.23</v>
      </c>
      <c r="L177" s="1" t="s">
        <v>13</v>
      </c>
    </row>
    <row r="178" spans="1:12" x14ac:dyDescent="0.95">
      <c r="A178" s="1">
        <v>177</v>
      </c>
      <c r="B178" s="1" t="s">
        <v>20</v>
      </c>
      <c r="C178" s="1">
        <v>2020</v>
      </c>
      <c r="D178" s="1">
        <v>12930.96</v>
      </c>
      <c r="E178" s="1">
        <v>45.47</v>
      </c>
      <c r="F178" s="1">
        <v>33.04</v>
      </c>
      <c r="G178" s="1">
        <v>15.93</v>
      </c>
      <c r="H178" s="1">
        <v>59.25</v>
      </c>
      <c r="I178" s="1">
        <v>11.81</v>
      </c>
      <c r="J178" s="1">
        <v>76.95</v>
      </c>
      <c r="K178" s="1">
        <v>507.24</v>
      </c>
      <c r="L178" s="1" t="s">
        <v>15</v>
      </c>
    </row>
    <row r="179" spans="1:12" x14ac:dyDescent="0.95">
      <c r="A179" s="1">
        <v>178</v>
      </c>
      <c r="B179" s="1" t="s">
        <v>34</v>
      </c>
      <c r="C179" s="1">
        <v>2020</v>
      </c>
      <c r="D179" s="1">
        <v>60869.52</v>
      </c>
      <c r="E179" s="1">
        <v>52.77</v>
      </c>
      <c r="F179" s="1">
        <v>56.6</v>
      </c>
      <c r="G179" s="1">
        <v>9.92</v>
      </c>
      <c r="H179" s="1">
        <v>58.56</v>
      </c>
      <c r="I179" s="1">
        <v>10.67</v>
      </c>
      <c r="J179" s="1">
        <v>57.73</v>
      </c>
      <c r="K179" s="1">
        <v>1009.2</v>
      </c>
      <c r="L179" s="1" t="s">
        <v>13</v>
      </c>
    </row>
    <row r="180" spans="1:12" x14ac:dyDescent="0.95">
      <c r="A180" s="1">
        <v>179</v>
      </c>
      <c r="B180" s="1" t="s">
        <v>35</v>
      </c>
      <c r="C180" s="1">
        <v>2020</v>
      </c>
      <c r="D180" s="1">
        <v>12848.37</v>
      </c>
      <c r="E180" s="1">
        <v>8.1999999999999993</v>
      </c>
      <c r="F180" s="1">
        <v>51.41</v>
      </c>
      <c r="G180" s="1">
        <v>21.87</v>
      </c>
      <c r="H180" s="1">
        <v>66.66</v>
      </c>
      <c r="I180" s="1">
        <v>1.5</v>
      </c>
      <c r="J180" s="1">
        <v>54.71</v>
      </c>
      <c r="K180" s="1">
        <v>1403.56</v>
      </c>
      <c r="L180" s="1" t="s">
        <v>13</v>
      </c>
    </row>
    <row r="181" spans="1:12" x14ac:dyDescent="0.95">
      <c r="A181" s="1">
        <v>180</v>
      </c>
      <c r="B181" s="1" t="s">
        <v>33</v>
      </c>
      <c r="C181" s="1">
        <v>2021</v>
      </c>
      <c r="D181" s="1">
        <v>63108.93</v>
      </c>
      <c r="E181" s="1">
        <v>41.89</v>
      </c>
      <c r="F181" s="1">
        <v>38.56</v>
      </c>
      <c r="G181" s="1">
        <v>11.08</v>
      </c>
      <c r="H181" s="1">
        <v>86.94</v>
      </c>
      <c r="I181" s="1">
        <v>22.53</v>
      </c>
      <c r="J181" s="1">
        <v>81.27</v>
      </c>
      <c r="K181" s="1">
        <v>1131.92</v>
      </c>
      <c r="L181" s="1" t="s">
        <v>17</v>
      </c>
    </row>
    <row r="182" spans="1:12" x14ac:dyDescent="0.95">
      <c r="A182" s="1">
        <v>181</v>
      </c>
      <c r="B182" s="1" t="s">
        <v>25</v>
      </c>
      <c r="C182" s="1">
        <v>2021</v>
      </c>
      <c r="D182" s="1">
        <v>62388.37</v>
      </c>
      <c r="E182" s="1">
        <v>23.29</v>
      </c>
      <c r="F182" s="1">
        <v>40.020000000000003</v>
      </c>
      <c r="G182" s="1">
        <v>4.4400000000000004</v>
      </c>
      <c r="H182" s="1">
        <v>80.44</v>
      </c>
      <c r="I182" s="1">
        <v>1.86</v>
      </c>
      <c r="J182" s="1">
        <v>67.36</v>
      </c>
      <c r="K182" s="1">
        <v>789.12</v>
      </c>
      <c r="L182" s="1" t="s">
        <v>17</v>
      </c>
    </row>
    <row r="183" spans="1:12" x14ac:dyDescent="0.95">
      <c r="A183" s="1">
        <v>182</v>
      </c>
      <c r="B183" s="1" t="s">
        <v>35</v>
      </c>
      <c r="C183" s="1">
        <v>2021</v>
      </c>
      <c r="D183" s="1">
        <v>28376.53</v>
      </c>
      <c r="E183" s="1">
        <v>40.799999999999997</v>
      </c>
      <c r="F183" s="1">
        <v>50.4</v>
      </c>
      <c r="G183" s="1">
        <v>3.18</v>
      </c>
      <c r="H183" s="1">
        <v>71.48</v>
      </c>
      <c r="I183" s="1">
        <v>16.02</v>
      </c>
      <c r="J183" s="1">
        <v>68.599999999999994</v>
      </c>
      <c r="K183" s="1">
        <v>1242.6300000000001</v>
      </c>
      <c r="L183" s="1" t="s">
        <v>13</v>
      </c>
    </row>
    <row r="184" spans="1:12" x14ac:dyDescent="0.95">
      <c r="A184" s="1">
        <v>183</v>
      </c>
      <c r="B184" s="1" t="s">
        <v>22</v>
      </c>
      <c r="C184" s="1">
        <v>2021</v>
      </c>
      <c r="D184" s="1">
        <v>4783.07</v>
      </c>
      <c r="E184" s="1">
        <v>36.619999999999997</v>
      </c>
      <c r="F184" s="1">
        <v>42.66</v>
      </c>
      <c r="G184" s="1">
        <v>25.08</v>
      </c>
      <c r="H184" s="1">
        <v>70.44</v>
      </c>
      <c r="I184" s="1">
        <v>3.81</v>
      </c>
      <c r="J184" s="1">
        <v>56.72</v>
      </c>
      <c r="K184" s="1">
        <v>1105.3800000000001</v>
      </c>
      <c r="L184" s="1" t="s">
        <v>17</v>
      </c>
    </row>
    <row r="185" spans="1:12" x14ac:dyDescent="0.95">
      <c r="A185" s="1">
        <v>184</v>
      </c>
      <c r="B185" s="1" t="s">
        <v>30</v>
      </c>
      <c r="C185" s="1">
        <v>2021</v>
      </c>
      <c r="D185" s="1">
        <v>43580.69</v>
      </c>
      <c r="E185" s="1">
        <v>8.3699999999999992</v>
      </c>
      <c r="F185" s="1">
        <v>28.36</v>
      </c>
      <c r="G185" s="1">
        <v>20.23</v>
      </c>
      <c r="H185" s="1">
        <v>58.2</v>
      </c>
      <c r="I185" s="1">
        <v>20.72</v>
      </c>
      <c r="J185" s="1">
        <v>75.31</v>
      </c>
      <c r="K185" s="1">
        <v>122.55</v>
      </c>
      <c r="L185" s="1" t="s">
        <v>15</v>
      </c>
    </row>
    <row r="186" spans="1:12" x14ac:dyDescent="0.95">
      <c r="A186" s="1">
        <v>185</v>
      </c>
      <c r="B186" s="1" t="s">
        <v>23</v>
      </c>
      <c r="C186" s="1">
        <v>2021</v>
      </c>
      <c r="D186" s="1">
        <v>48183.4</v>
      </c>
      <c r="E186" s="1">
        <v>12.24</v>
      </c>
      <c r="F186" s="1">
        <v>61.44</v>
      </c>
      <c r="G186" s="1">
        <v>23.39</v>
      </c>
      <c r="H186" s="1">
        <v>96.79</v>
      </c>
      <c r="I186" s="1">
        <v>18.420000000000002</v>
      </c>
      <c r="J186" s="1">
        <v>72.239999999999995</v>
      </c>
      <c r="K186" s="1">
        <v>609.36</v>
      </c>
      <c r="L186" s="1" t="s">
        <v>13</v>
      </c>
    </row>
    <row r="187" spans="1:12" x14ac:dyDescent="0.95">
      <c r="A187" s="1">
        <v>186</v>
      </c>
      <c r="B187" s="1" t="s">
        <v>32</v>
      </c>
      <c r="C187" s="1">
        <v>2021</v>
      </c>
      <c r="D187" s="1">
        <v>49522.32</v>
      </c>
      <c r="E187" s="1">
        <v>15.42</v>
      </c>
      <c r="F187" s="1">
        <v>30.45</v>
      </c>
      <c r="G187" s="1">
        <v>2.38</v>
      </c>
      <c r="H187" s="1">
        <v>70.430000000000007</v>
      </c>
      <c r="I187" s="1">
        <v>15.16</v>
      </c>
      <c r="J187" s="1">
        <v>64.94</v>
      </c>
      <c r="K187" s="1">
        <v>637.15</v>
      </c>
      <c r="L187" s="1" t="s">
        <v>15</v>
      </c>
    </row>
    <row r="188" spans="1:12" x14ac:dyDescent="0.95">
      <c r="A188" s="1">
        <v>187</v>
      </c>
      <c r="B188" s="1" t="s">
        <v>28</v>
      </c>
      <c r="C188" s="1">
        <v>2021</v>
      </c>
      <c r="D188" s="1">
        <v>65733.16</v>
      </c>
      <c r="E188" s="1">
        <v>13.42</v>
      </c>
      <c r="F188" s="1">
        <v>27.66</v>
      </c>
      <c r="G188" s="1">
        <v>21.27</v>
      </c>
      <c r="H188" s="1">
        <v>80.28</v>
      </c>
      <c r="I188" s="1">
        <v>21.2</v>
      </c>
      <c r="J188" s="1">
        <v>56.61</v>
      </c>
      <c r="K188" s="1">
        <v>1154.1600000000001</v>
      </c>
      <c r="L188" s="1" t="s">
        <v>15</v>
      </c>
    </row>
    <row r="189" spans="1:12" x14ac:dyDescent="0.95">
      <c r="A189" s="1">
        <v>188</v>
      </c>
      <c r="B189" s="1" t="s">
        <v>36</v>
      </c>
      <c r="C189" s="1">
        <v>2021</v>
      </c>
      <c r="D189" s="1">
        <v>24472.06</v>
      </c>
      <c r="E189" s="1">
        <v>53.74</v>
      </c>
      <c r="F189" s="1">
        <v>29.43</v>
      </c>
      <c r="G189" s="1">
        <v>24.01</v>
      </c>
      <c r="H189" s="1">
        <v>60.61</v>
      </c>
      <c r="I189" s="1">
        <v>10.53</v>
      </c>
      <c r="J189" s="1">
        <v>78.31</v>
      </c>
      <c r="K189" s="1">
        <v>221.63</v>
      </c>
      <c r="L189" s="1" t="s">
        <v>15</v>
      </c>
    </row>
    <row r="190" spans="1:12" x14ac:dyDescent="0.95">
      <c r="A190" s="1">
        <v>189</v>
      </c>
      <c r="B190" s="1" t="s">
        <v>18</v>
      </c>
      <c r="C190" s="1">
        <v>2021</v>
      </c>
      <c r="D190" s="1">
        <v>35807.5</v>
      </c>
      <c r="E190" s="1">
        <v>40.520000000000003</v>
      </c>
      <c r="F190" s="1">
        <v>25.72</v>
      </c>
      <c r="G190" s="1">
        <v>24.68</v>
      </c>
      <c r="H190" s="1">
        <v>96.01</v>
      </c>
      <c r="I190" s="1">
        <v>14.56</v>
      </c>
      <c r="J190" s="1">
        <v>74.989999999999995</v>
      </c>
      <c r="K190" s="1">
        <v>1338.01</v>
      </c>
      <c r="L190" s="1" t="s">
        <v>15</v>
      </c>
    </row>
    <row r="191" spans="1:12" x14ac:dyDescent="0.95">
      <c r="A191" s="1">
        <v>190</v>
      </c>
      <c r="B191" s="1" t="s">
        <v>19</v>
      </c>
      <c r="C191" s="1">
        <v>2021</v>
      </c>
      <c r="D191" s="1">
        <v>6529.67</v>
      </c>
      <c r="E191" s="1">
        <v>40</v>
      </c>
      <c r="F191" s="1">
        <v>34.81</v>
      </c>
      <c r="G191" s="1">
        <v>12.12</v>
      </c>
      <c r="H191" s="1">
        <v>67.7</v>
      </c>
      <c r="I191" s="1">
        <v>9.5399999999999991</v>
      </c>
      <c r="J191" s="1">
        <v>75.73</v>
      </c>
      <c r="K191" s="1">
        <v>434.34</v>
      </c>
      <c r="L191" s="1" t="s">
        <v>15</v>
      </c>
    </row>
    <row r="192" spans="1:12" x14ac:dyDescent="0.95">
      <c r="A192" s="1">
        <v>191</v>
      </c>
      <c r="B192" s="1" t="s">
        <v>37</v>
      </c>
      <c r="C192" s="1">
        <v>2021</v>
      </c>
      <c r="D192" s="1">
        <v>51190.66</v>
      </c>
      <c r="E192" s="1">
        <v>33.22</v>
      </c>
      <c r="F192" s="1">
        <v>52.54</v>
      </c>
      <c r="G192" s="1">
        <v>13.31</v>
      </c>
      <c r="H192" s="1">
        <v>65.84</v>
      </c>
      <c r="I192" s="1">
        <v>20.66</v>
      </c>
      <c r="J192" s="1">
        <v>78.38</v>
      </c>
      <c r="K192" s="1">
        <v>1008.84</v>
      </c>
      <c r="L192" s="1" t="s">
        <v>13</v>
      </c>
    </row>
    <row r="193" spans="1:12" x14ac:dyDescent="0.95">
      <c r="A193" s="1">
        <v>192</v>
      </c>
      <c r="B193" s="1" t="s">
        <v>16</v>
      </c>
      <c r="C193" s="1">
        <v>2021</v>
      </c>
      <c r="D193" s="1">
        <v>19632.439999999999</v>
      </c>
      <c r="E193" s="1">
        <v>39.18</v>
      </c>
      <c r="F193" s="1">
        <v>39.44</v>
      </c>
      <c r="G193" s="1">
        <v>4.38</v>
      </c>
      <c r="H193" s="1">
        <v>95.36</v>
      </c>
      <c r="I193" s="1">
        <v>4.28</v>
      </c>
      <c r="J193" s="1">
        <v>83.36</v>
      </c>
      <c r="K193" s="1">
        <v>649.48</v>
      </c>
      <c r="L193" s="1" t="s">
        <v>17</v>
      </c>
    </row>
    <row r="194" spans="1:12" x14ac:dyDescent="0.95">
      <c r="A194" s="1">
        <v>193</v>
      </c>
      <c r="B194" s="1" t="s">
        <v>21</v>
      </c>
      <c r="C194" s="1">
        <v>2021</v>
      </c>
      <c r="D194" s="1">
        <v>16716.61</v>
      </c>
      <c r="E194" s="1">
        <v>9.6</v>
      </c>
      <c r="F194" s="1">
        <v>28.08</v>
      </c>
      <c r="G194" s="1">
        <v>20.100000000000001</v>
      </c>
      <c r="H194" s="1">
        <v>69.95</v>
      </c>
      <c r="I194" s="1">
        <v>18.39</v>
      </c>
      <c r="J194" s="1">
        <v>54.16</v>
      </c>
      <c r="K194" s="1">
        <v>460.59</v>
      </c>
      <c r="L194" s="1" t="s">
        <v>15</v>
      </c>
    </row>
    <row r="195" spans="1:12" x14ac:dyDescent="0.95">
      <c r="A195" s="1">
        <v>194</v>
      </c>
      <c r="B195" s="1" t="s">
        <v>34</v>
      </c>
      <c r="C195" s="1">
        <v>2021</v>
      </c>
      <c r="D195" s="1">
        <v>69388.87</v>
      </c>
      <c r="E195" s="1">
        <v>16.600000000000001</v>
      </c>
      <c r="F195" s="1">
        <v>62.71</v>
      </c>
      <c r="G195" s="1">
        <v>18.89</v>
      </c>
      <c r="H195" s="1">
        <v>81.739999999999995</v>
      </c>
      <c r="I195" s="1">
        <v>13.3</v>
      </c>
      <c r="J195" s="1">
        <v>59.61</v>
      </c>
      <c r="K195" s="1">
        <v>260.08</v>
      </c>
      <c r="L195" s="1" t="s">
        <v>13</v>
      </c>
    </row>
    <row r="196" spans="1:12" x14ac:dyDescent="0.95">
      <c r="A196" s="1">
        <v>195</v>
      </c>
      <c r="B196" s="1" t="s">
        <v>20</v>
      </c>
      <c r="C196" s="1">
        <v>2021</v>
      </c>
      <c r="D196" s="1">
        <v>62301.37</v>
      </c>
      <c r="E196" s="1">
        <v>62.21</v>
      </c>
      <c r="F196" s="1">
        <v>59.49</v>
      </c>
      <c r="G196" s="1">
        <v>23.05</v>
      </c>
      <c r="H196" s="1">
        <v>83.83</v>
      </c>
      <c r="I196" s="1">
        <v>14.22</v>
      </c>
      <c r="J196" s="1">
        <v>54.87</v>
      </c>
      <c r="K196" s="1">
        <v>595.21</v>
      </c>
      <c r="L196" s="1" t="s">
        <v>13</v>
      </c>
    </row>
    <row r="197" spans="1:12" x14ac:dyDescent="0.95">
      <c r="A197" s="1">
        <v>196</v>
      </c>
      <c r="B197" s="1" t="s">
        <v>38</v>
      </c>
      <c r="C197" s="1">
        <v>2021</v>
      </c>
      <c r="D197" s="1">
        <v>1241.9000000000001</v>
      </c>
      <c r="E197" s="1">
        <v>20.079999999999998</v>
      </c>
      <c r="F197" s="1">
        <v>49.68</v>
      </c>
      <c r="G197" s="1">
        <v>27.51</v>
      </c>
      <c r="H197" s="1">
        <v>82.8</v>
      </c>
      <c r="I197" s="1">
        <v>7.24</v>
      </c>
      <c r="J197" s="1">
        <v>72.92</v>
      </c>
      <c r="K197" s="1">
        <v>785.28</v>
      </c>
      <c r="L197" s="1" t="s">
        <v>17</v>
      </c>
    </row>
    <row r="198" spans="1:12" x14ac:dyDescent="0.95">
      <c r="A198" s="1">
        <v>197</v>
      </c>
      <c r="B198" s="1" t="s">
        <v>19</v>
      </c>
      <c r="C198" s="1">
        <v>2021</v>
      </c>
      <c r="D198" s="1">
        <v>29845.13</v>
      </c>
      <c r="E198" s="1">
        <v>42.23</v>
      </c>
      <c r="F198" s="1">
        <v>40.9</v>
      </c>
      <c r="G198" s="1">
        <v>9.1300000000000008</v>
      </c>
      <c r="H198" s="1">
        <v>98.3</v>
      </c>
      <c r="I198" s="1">
        <v>10.82</v>
      </c>
      <c r="J198" s="1">
        <v>81.510000000000005</v>
      </c>
      <c r="K198" s="1">
        <v>337.28</v>
      </c>
      <c r="L198" s="1" t="s">
        <v>17</v>
      </c>
    </row>
    <row r="199" spans="1:12" x14ac:dyDescent="0.95">
      <c r="A199" s="1">
        <v>198</v>
      </c>
      <c r="B199" s="1" t="s">
        <v>37</v>
      </c>
      <c r="C199" s="1">
        <v>2021</v>
      </c>
      <c r="D199" s="1">
        <v>43576.38</v>
      </c>
      <c r="E199" s="1">
        <v>46.26</v>
      </c>
      <c r="F199" s="1">
        <v>47.39</v>
      </c>
      <c r="G199" s="1">
        <v>2.25</v>
      </c>
      <c r="H199" s="1">
        <v>69.36</v>
      </c>
      <c r="I199" s="1">
        <v>13.43</v>
      </c>
      <c r="J199" s="1">
        <v>54.9</v>
      </c>
      <c r="K199" s="1">
        <v>511.66</v>
      </c>
      <c r="L199" s="1" t="s">
        <v>17</v>
      </c>
    </row>
    <row r="200" spans="1:12" x14ac:dyDescent="0.95">
      <c r="A200" s="1">
        <v>199</v>
      </c>
      <c r="B200" s="1" t="s">
        <v>14</v>
      </c>
      <c r="C200" s="1">
        <v>2021</v>
      </c>
      <c r="D200" s="1">
        <v>66167.3</v>
      </c>
      <c r="E200" s="1">
        <v>45.04</v>
      </c>
      <c r="F200" s="1">
        <v>44.89</v>
      </c>
      <c r="G200" s="1">
        <v>18.059999999999999</v>
      </c>
      <c r="H200" s="1">
        <v>93.23</v>
      </c>
      <c r="I200" s="1">
        <v>14.69</v>
      </c>
      <c r="J200" s="1">
        <v>53</v>
      </c>
      <c r="K200" s="1">
        <v>1350.22</v>
      </c>
      <c r="L200" s="1" t="s">
        <v>17</v>
      </c>
    </row>
    <row r="201" spans="1:12" x14ac:dyDescent="0.95">
      <c r="A201" s="1">
        <v>200</v>
      </c>
      <c r="B201" s="1" t="s">
        <v>35</v>
      </c>
      <c r="C201" s="1">
        <v>2021</v>
      </c>
      <c r="D201" s="1">
        <v>66922.240000000005</v>
      </c>
      <c r="E201" s="1">
        <v>3.15</v>
      </c>
      <c r="F201" s="1">
        <v>32.83</v>
      </c>
      <c r="G201" s="1">
        <v>2.2000000000000002</v>
      </c>
      <c r="H201" s="1">
        <v>83.49</v>
      </c>
      <c r="I201" s="1">
        <v>22.55</v>
      </c>
      <c r="J201" s="1">
        <v>60.03</v>
      </c>
      <c r="K201" s="1">
        <v>1344.56</v>
      </c>
      <c r="L201" s="1" t="s">
        <v>15</v>
      </c>
    </row>
    <row r="202" spans="1:12" x14ac:dyDescent="0.95">
      <c r="A202" s="1">
        <v>201</v>
      </c>
      <c r="B202" s="1" t="s">
        <v>23</v>
      </c>
      <c r="C202" s="1">
        <v>2021</v>
      </c>
      <c r="D202" s="1">
        <v>16972.88</v>
      </c>
      <c r="E202" s="1">
        <v>36.020000000000003</v>
      </c>
      <c r="F202" s="1">
        <v>60.2</v>
      </c>
      <c r="G202" s="1">
        <v>18.920000000000002</v>
      </c>
      <c r="H202" s="1">
        <v>78.45</v>
      </c>
      <c r="I202" s="1">
        <v>8.7799999999999994</v>
      </c>
      <c r="J202" s="1">
        <v>62.99</v>
      </c>
      <c r="K202" s="1">
        <v>972.41</v>
      </c>
      <c r="L202" s="1" t="s">
        <v>13</v>
      </c>
    </row>
    <row r="203" spans="1:12" x14ac:dyDescent="0.95">
      <c r="A203" s="1">
        <v>202</v>
      </c>
      <c r="B203" s="1" t="s">
        <v>35</v>
      </c>
      <c r="C203" s="1">
        <v>2021</v>
      </c>
      <c r="D203" s="1">
        <v>69457.33</v>
      </c>
      <c r="E203" s="1">
        <v>55.64</v>
      </c>
      <c r="F203" s="1">
        <v>33.340000000000003</v>
      </c>
      <c r="G203" s="1">
        <v>26.2</v>
      </c>
      <c r="H203" s="1">
        <v>60.12</v>
      </c>
      <c r="I203" s="1">
        <v>20.62</v>
      </c>
      <c r="J203" s="1">
        <v>64.56</v>
      </c>
      <c r="K203" s="1">
        <v>1273.67</v>
      </c>
      <c r="L203" s="1" t="s">
        <v>15</v>
      </c>
    </row>
    <row r="204" spans="1:12" x14ac:dyDescent="0.95">
      <c r="A204" s="1">
        <v>203</v>
      </c>
      <c r="B204" s="1" t="s">
        <v>22</v>
      </c>
      <c r="C204" s="1">
        <v>2021</v>
      </c>
      <c r="D204" s="1">
        <v>35805.01</v>
      </c>
      <c r="E204" s="1">
        <v>54.96</v>
      </c>
      <c r="F204" s="1">
        <v>54.31</v>
      </c>
      <c r="G204" s="1">
        <v>16.100000000000001</v>
      </c>
      <c r="H204" s="1">
        <v>80.98</v>
      </c>
      <c r="I204" s="1">
        <v>13.2</v>
      </c>
      <c r="J204" s="1">
        <v>61.82</v>
      </c>
      <c r="K204" s="1">
        <v>821.46</v>
      </c>
      <c r="L204" s="1" t="s">
        <v>13</v>
      </c>
    </row>
    <row r="205" spans="1:12" x14ac:dyDescent="0.95">
      <c r="A205" s="1">
        <v>204</v>
      </c>
      <c r="B205" s="1" t="s">
        <v>19</v>
      </c>
      <c r="C205" s="1">
        <v>2022</v>
      </c>
      <c r="D205" s="1">
        <v>5301.57</v>
      </c>
      <c r="E205" s="1">
        <v>61.78</v>
      </c>
      <c r="F205" s="1">
        <v>63.63</v>
      </c>
      <c r="G205" s="1">
        <v>23.02</v>
      </c>
      <c r="H205" s="1">
        <v>68.400000000000006</v>
      </c>
      <c r="I205" s="1">
        <v>3.34</v>
      </c>
      <c r="J205" s="1">
        <v>74.58</v>
      </c>
      <c r="K205" s="1">
        <v>641.02</v>
      </c>
      <c r="L205" s="1" t="s">
        <v>13</v>
      </c>
    </row>
    <row r="206" spans="1:12" x14ac:dyDescent="0.95">
      <c r="A206" s="1">
        <v>205</v>
      </c>
      <c r="B206" s="1" t="s">
        <v>14</v>
      </c>
      <c r="C206" s="1">
        <v>2022</v>
      </c>
      <c r="D206" s="1">
        <v>60526.76</v>
      </c>
      <c r="E206" s="1">
        <v>41.27</v>
      </c>
      <c r="F206" s="1">
        <v>38.24</v>
      </c>
      <c r="G206" s="1">
        <v>3.65</v>
      </c>
      <c r="H206" s="1">
        <v>68.680000000000007</v>
      </c>
      <c r="I206" s="1">
        <v>8.8000000000000007</v>
      </c>
      <c r="J206" s="1">
        <v>76.08</v>
      </c>
      <c r="K206" s="1">
        <v>926.27</v>
      </c>
      <c r="L206" s="1" t="s">
        <v>17</v>
      </c>
    </row>
    <row r="207" spans="1:12" x14ac:dyDescent="0.95">
      <c r="A207" s="1">
        <v>206</v>
      </c>
      <c r="B207" s="1" t="s">
        <v>22</v>
      </c>
      <c r="C207" s="1">
        <v>2022</v>
      </c>
      <c r="D207" s="1">
        <v>62195.12</v>
      </c>
      <c r="E207" s="1">
        <v>31.75</v>
      </c>
      <c r="F207" s="1">
        <v>29.78</v>
      </c>
      <c r="G207" s="1">
        <v>20.54</v>
      </c>
      <c r="H207" s="1">
        <v>88.47</v>
      </c>
      <c r="I207" s="1">
        <v>14.47</v>
      </c>
      <c r="J207" s="1">
        <v>77.44</v>
      </c>
      <c r="K207" s="1">
        <v>718.53</v>
      </c>
      <c r="L207" s="1" t="s">
        <v>15</v>
      </c>
    </row>
    <row r="208" spans="1:12" x14ac:dyDescent="0.95">
      <c r="A208" s="1">
        <v>207</v>
      </c>
      <c r="B208" s="1" t="s">
        <v>12</v>
      </c>
      <c r="C208" s="1">
        <v>2022</v>
      </c>
      <c r="D208" s="1">
        <v>27661.360000000001</v>
      </c>
      <c r="E208" s="1">
        <v>42.53</v>
      </c>
      <c r="F208" s="1">
        <v>43.33</v>
      </c>
      <c r="G208" s="1">
        <v>16.190000000000001</v>
      </c>
      <c r="H208" s="1">
        <v>96.42</v>
      </c>
      <c r="I208" s="1">
        <v>10.27</v>
      </c>
      <c r="J208" s="1">
        <v>83.72</v>
      </c>
      <c r="K208" s="1">
        <v>1313.23</v>
      </c>
      <c r="L208" s="1" t="s">
        <v>17</v>
      </c>
    </row>
    <row r="209" spans="1:12" x14ac:dyDescent="0.95">
      <c r="A209" s="1">
        <v>208</v>
      </c>
      <c r="B209" s="1" t="s">
        <v>36</v>
      </c>
      <c r="C209" s="1">
        <v>2022</v>
      </c>
      <c r="D209" s="1">
        <v>1585.67</v>
      </c>
      <c r="E209" s="1">
        <v>31.53</v>
      </c>
      <c r="F209" s="1">
        <v>27.25</v>
      </c>
      <c r="G209" s="1">
        <v>5.09</v>
      </c>
      <c r="H209" s="1">
        <v>60.17</v>
      </c>
      <c r="I209" s="1">
        <v>16.579999999999998</v>
      </c>
      <c r="J209" s="1">
        <v>76.62</v>
      </c>
      <c r="K209" s="1">
        <v>847.97</v>
      </c>
      <c r="L209" s="1" t="s">
        <v>15</v>
      </c>
    </row>
    <row r="210" spans="1:12" x14ac:dyDescent="0.95">
      <c r="A210" s="1">
        <v>209</v>
      </c>
      <c r="B210" s="1" t="s">
        <v>19</v>
      </c>
      <c r="C210" s="1">
        <v>2022</v>
      </c>
      <c r="D210" s="1">
        <v>13386.1</v>
      </c>
      <c r="E210" s="1">
        <v>23.78</v>
      </c>
      <c r="F210" s="1">
        <v>60.87</v>
      </c>
      <c r="G210" s="1">
        <v>14.32</v>
      </c>
      <c r="H210" s="1">
        <v>84.37</v>
      </c>
      <c r="I210" s="1">
        <v>5.14</v>
      </c>
      <c r="J210" s="1">
        <v>58.35</v>
      </c>
      <c r="K210" s="1">
        <v>64.06</v>
      </c>
      <c r="L210" s="1" t="s">
        <v>13</v>
      </c>
    </row>
    <row r="211" spans="1:12" x14ac:dyDescent="0.95">
      <c r="A211" s="1">
        <v>210</v>
      </c>
      <c r="B211" s="1" t="s">
        <v>12</v>
      </c>
      <c r="C211" s="1">
        <v>2022</v>
      </c>
      <c r="D211" s="1">
        <v>6352.18</v>
      </c>
      <c r="E211" s="1">
        <v>35.04</v>
      </c>
      <c r="F211" s="1">
        <v>41.42</v>
      </c>
      <c r="G211" s="1">
        <v>27.54</v>
      </c>
      <c r="H211" s="1">
        <v>59.93</v>
      </c>
      <c r="I211" s="1">
        <v>10.55</v>
      </c>
      <c r="J211" s="1">
        <v>83.99</v>
      </c>
      <c r="K211" s="1">
        <v>1255.6600000000001</v>
      </c>
      <c r="L211" s="1" t="s">
        <v>17</v>
      </c>
    </row>
    <row r="212" spans="1:12" x14ac:dyDescent="0.95">
      <c r="A212" s="1">
        <v>211</v>
      </c>
      <c r="B212" s="1" t="s">
        <v>34</v>
      </c>
      <c r="C212" s="1">
        <v>2022</v>
      </c>
      <c r="D212" s="1">
        <v>5185.55</v>
      </c>
      <c r="E212" s="1">
        <v>64.37</v>
      </c>
      <c r="F212" s="1">
        <v>37.89</v>
      </c>
      <c r="G212" s="1">
        <v>23.06</v>
      </c>
      <c r="H212" s="1">
        <v>66.2</v>
      </c>
      <c r="I212" s="1">
        <v>17.36</v>
      </c>
      <c r="J212" s="1">
        <v>77.09</v>
      </c>
      <c r="K212" s="1">
        <v>865.7</v>
      </c>
      <c r="L212" s="1" t="s">
        <v>17</v>
      </c>
    </row>
    <row r="213" spans="1:12" x14ac:dyDescent="0.95">
      <c r="A213" s="1">
        <v>212</v>
      </c>
      <c r="B213" s="1" t="s">
        <v>20</v>
      </c>
      <c r="C213" s="1">
        <v>2022</v>
      </c>
      <c r="D213" s="1">
        <v>16664.2</v>
      </c>
      <c r="E213" s="1">
        <v>47.5</v>
      </c>
      <c r="F213" s="1">
        <v>53.8</v>
      </c>
      <c r="G213" s="1">
        <v>18.670000000000002</v>
      </c>
      <c r="H213" s="1">
        <v>85.53</v>
      </c>
      <c r="I213" s="1">
        <v>14.03</v>
      </c>
      <c r="J213" s="1">
        <v>60.31</v>
      </c>
      <c r="K213" s="1">
        <v>504.53</v>
      </c>
      <c r="L213" s="1" t="s">
        <v>13</v>
      </c>
    </row>
    <row r="214" spans="1:12" x14ac:dyDescent="0.95">
      <c r="A214" s="1">
        <v>213</v>
      </c>
      <c r="B214" s="1" t="s">
        <v>25</v>
      </c>
      <c r="C214" s="1">
        <v>2022</v>
      </c>
      <c r="D214" s="1">
        <v>31998.080000000002</v>
      </c>
      <c r="E214" s="1">
        <v>9.1300000000000008</v>
      </c>
      <c r="F214" s="1">
        <v>64.39</v>
      </c>
      <c r="G214" s="1">
        <v>23.81</v>
      </c>
      <c r="H214" s="1">
        <v>60.49</v>
      </c>
      <c r="I214" s="1">
        <v>23.1</v>
      </c>
      <c r="J214" s="1">
        <v>80.709999999999994</v>
      </c>
      <c r="K214" s="1">
        <v>754.72</v>
      </c>
      <c r="L214" s="1" t="s">
        <v>13</v>
      </c>
    </row>
    <row r="215" spans="1:12" x14ac:dyDescent="0.95">
      <c r="A215" s="1">
        <v>214</v>
      </c>
      <c r="B215" s="1" t="s">
        <v>22</v>
      </c>
      <c r="C215" s="1">
        <v>2022</v>
      </c>
      <c r="D215" s="1">
        <v>37987.78</v>
      </c>
      <c r="E215" s="1">
        <v>59.95</v>
      </c>
      <c r="F215" s="1">
        <v>38.85</v>
      </c>
      <c r="G215" s="1">
        <v>11.02</v>
      </c>
      <c r="H215" s="1">
        <v>87.45</v>
      </c>
      <c r="I215" s="1">
        <v>11.85</v>
      </c>
      <c r="J215" s="1">
        <v>59.41</v>
      </c>
      <c r="K215" s="1">
        <v>658.78</v>
      </c>
      <c r="L215" s="1" t="s">
        <v>17</v>
      </c>
    </row>
    <row r="216" spans="1:12" x14ac:dyDescent="0.95">
      <c r="A216" s="1">
        <v>215</v>
      </c>
      <c r="B216" s="1" t="s">
        <v>24</v>
      </c>
      <c r="C216" s="1">
        <v>2022</v>
      </c>
      <c r="D216" s="1">
        <v>3329.24</v>
      </c>
      <c r="E216" s="1">
        <v>31.74</v>
      </c>
      <c r="F216" s="1">
        <v>47.59</v>
      </c>
      <c r="G216" s="1">
        <v>3.71</v>
      </c>
      <c r="H216" s="1">
        <v>89.12</v>
      </c>
      <c r="I216" s="1">
        <v>11.88</v>
      </c>
      <c r="J216" s="1">
        <v>69.3</v>
      </c>
      <c r="K216" s="1">
        <v>641.9</v>
      </c>
      <c r="L216" s="1" t="s">
        <v>17</v>
      </c>
    </row>
    <row r="217" spans="1:12" x14ac:dyDescent="0.95">
      <c r="A217" s="1">
        <v>216</v>
      </c>
      <c r="B217" s="1" t="s">
        <v>20</v>
      </c>
      <c r="C217" s="1">
        <v>2022</v>
      </c>
      <c r="D217" s="1">
        <v>15084.35</v>
      </c>
      <c r="E217" s="1">
        <v>2.69</v>
      </c>
      <c r="F217" s="1">
        <v>30.48</v>
      </c>
      <c r="G217" s="1">
        <v>25.4</v>
      </c>
      <c r="H217" s="1">
        <v>93.45</v>
      </c>
      <c r="I217" s="1">
        <v>15.34</v>
      </c>
      <c r="J217" s="1">
        <v>71.819999999999993</v>
      </c>
      <c r="K217" s="1">
        <v>965.98</v>
      </c>
      <c r="L217" s="1" t="s">
        <v>15</v>
      </c>
    </row>
    <row r="218" spans="1:12" x14ac:dyDescent="0.95">
      <c r="A218" s="1">
        <v>217</v>
      </c>
      <c r="B218" s="1" t="s">
        <v>22</v>
      </c>
      <c r="C218" s="1">
        <v>2022</v>
      </c>
      <c r="D218" s="1">
        <v>39995.199999999997</v>
      </c>
      <c r="E218" s="1">
        <v>31.99</v>
      </c>
      <c r="F218" s="1">
        <v>51.55</v>
      </c>
      <c r="G218" s="1">
        <v>26.36</v>
      </c>
      <c r="H218" s="1">
        <v>87.23</v>
      </c>
      <c r="I218" s="1">
        <v>6.16</v>
      </c>
      <c r="J218" s="1">
        <v>53.03</v>
      </c>
      <c r="K218" s="1">
        <v>383.97</v>
      </c>
      <c r="L218" s="1" t="s">
        <v>13</v>
      </c>
    </row>
    <row r="219" spans="1:12" x14ac:dyDescent="0.95">
      <c r="A219" s="1">
        <v>218</v>
      </c>
      <c r="B219" s="1" t="s">
        <v>33</v>
      </c>
      <c r="C219" s="1">
        <v>2022</v>
      </c>
      <c r="D219" s="1">
        <v>59703.519999999997</v>
      </c>
      <c r="E219" s="1">
        <v>33.19</v>
      </c>
      <c r="F219" s="1">
        <v>44.22</v>
      </c>
      <c r="G219" s="1">
        <v>17.399999999999999</v>
      </c>
      <c r="H219" s="1">
        <v>91.29</v>
      </c>
      <c r="I219" s="1">
        <v>9.35</v>
      </c>
      <c r="J219" s="1">
        <v>74.37</v>
      </c>
      <c r="K219" s="1">
        <v>822.48</v>
      </c>
      <c r="L219" s="1" t="s">
        <v>17</v>
      </c>
    </row>
    <row r="220" spans="1:12" x14ac:dyDescent="0.95">
      <c r="A220" s="1">
        <v>219</v>
      </c>
      <c r="B220" s="1" t="s">
        <v>21</v>
      </c>
      <c r="C220" s="1">
        <v>2022</v>
      </c>
      <c r="D220" s="1">
        <v>6500.77</v>
      </c>
      <c r="E220" s="1">
        <v>44.87</v>
      </c>
      <c r="F220" s="1">
        <v>51.18</v>
      </c>
      <c r="G220" s="1">
        <v>9.1</v>
      </c>
      <c r="H220" s="1">
        <v>96.84</v>
      </c>
      <c r="I220" s="1">
        <v>4.63</v>
      </c>
      <c r="J220" s="1">
        <v>66.27</v>
      </c>
      <c r="K220" s="1">
        <v>1368.53</v>
      </c>
      <c r="L220" s="1" t="s">
        <v>13</v>
      </c>
    </row>
    <row r="221" spans="1:12" x14ac:dyDescent="0.95">
      <c r="A221" s="1">
        <v>220</v>
      </c>
      <c r="B221" s="1" t="s">
        <v>36</v>
      </c>
      <c r="C221" s="1">
        <v>2022</v>
      </c>
      <c r="D221" s="1">
        <v>14676.31</v>
      </c>
      <c r="E221" s="1">
        <v>32.97</v>
      </c>
      <c r="F221" s="1">
        <v>27.57</v>
      </c>
      <c r="G221" s="1">
        <v>17.13</v>
      </c>
      <c r="H221" s="1">
        <v>66.84</v>
      </c>
      <c r="I221" s="1">
        <v>20.14</v>
      </c>
      <c r="J221" s="1">
        <v>62.24</v>
      </c>
      <c r="K221" s="1">
        <v>662.79</v>
      </c>
      <c r="L221" s="1" t="s">
        <v>15</v>
      </c>
    </row>
    <row r="222" spans="1:12" x14ac:dyDescent="0.95">
      <c r="A222" s="1">
        <v>221</v>
      </c>
      <c r="B222" s="1" t="s">
        <v>23</v>
      </c>
      <c r="C222" s="1">
        <v>2022</v>
      </c>
      <c r="D222" s="1">
        <v>3097.66</v>
      </c>
      <c r="E222" s="1">
        <v>6.95</v>
      </c>
      <c r="F222" s="1">
        <v>40.880000000000003</v>
      </c>
      <c r="G222" s="1">
        <v>5.45</v>
      </c>
      <c r="H222" s="1">
        <v>79.97</v>
      </c>
      <c r="I222" s="1">
        <v>17.55</v>
      </c>
      <c r="J222" s="1">
        <v>78.42</v>
      </c>
      <c r="K222" s="1">
        <v>294.22000000000003</v>
      </c>
      <c r="L222" s="1" t="s">
        <v>17</v>
      </c>
    </row>
    <row r="223" spans="1:12" x14ac:dyDescent="0.95">
      <c r="A223" s="1">
        <v>222</v>
      </c>
      <c r="B223" s="1" t="s">
        <v>37</v>
      </c>
      <c r="C223" s="1">
        <v>2022</v>
      </c>
      <c r="D223" s="1">
        <v>46246.18</v>
      </c>
      <c r="E223" s="1">
        <v>22.49</v>
      </c>
      <c r="F223" s="1">
        <v>55.94</v>
      </c>
      <c r="G223" s="1">
        <v>5.4</v>
      </c>
      <c r="H223" s="1">
        <v>97.67</v>
      </c>
      <c r="I223" s="1">
        <v>11.89</v>
      </c>
      <c r="J223" s="1">
        <v>59.79</v>
      </c>
      <c r="K223" s="1">
        <v>111.2</v>
      </c>
      <c r="L223" s="1" t="s">
        <v>13</v>
      </c>
    </row>
    <row r="224" spans="1:12" x14ac:dyDescent="0.95">
      <c r="A224" s="1">
        <v>223</v>
      </c>
      <c r="B224" s="1" t="s">
        <v>32</v>
      </c>
      <c r="C224" s="1">
        <v>2022</v>
      </c>
      <c r="D224" s="1">
        <v>56369.39</v>
      </c>
      <c r="E224" s="1">
        <v>35.97</v>
      </c>
      <c r="F224" s="1">
        <v>37.450000000000003</v>
      </c>
      <c r="G224" s="1">
        <v>17.87</v>
      </c>
      <c r="H224" s="1">
        <v>86.51</v>
      </c>
      <c r="I224" s="1">
        <v>7.54</v>
      </c>
      <c r="J224" s="1">
        <v>65.650000000000006</v>
      </c>
      <c r="K224" s="1">
        <v>181.13</v>
      </c>
      <c r="L224" s="1" t="s">
        <v>17</v>
      </c>
    </row>
    <row r="225" spans="1:12" x14ac:dyDescent="0.95">
      <c r="A225" s="1">
        <v>224</v>
      </c>
      <c r="B225" s="1" t="s">
        <v>14</v>
      </c>
      <c r="C225" s="1">
        <v>2022</v>
      </c>
      <c r="D225" s="1">
        <v>13335.53</v>
      </c>
      <c r="E225" s="1">
        <v>44.91</v>
      </c>
      <c r="F225" s="1">
        <v>32.26</v>
      </c>
      <c r="G225" s="1">
        <v>15.65</v>
      </c>
      <c r="H225" s="1">
        <v>86.2</v>
      </c>
      <c r="I225" s="1">
        <v>3.57</v>
      </c>
      <c r="J225" s="1">
        <v>70.72</v>
      </c>
      <c r="K225" s="1">
        <v>375.73</v>
      </c>
      <c r="L225" s="1" t="s">
        <v>15</v>
      </c>
    </row>
    <row r="226" spans="1:12" x14ac:dyDescent="0.95">
      <c r="A226" s="1">
        <v>225</v>
      </c>
      <c r="B226" s="1" t="s">
        <v>36</v>
      </c>
      <c r="C226" s="1">
        <v>2022</v>
      </c>
      <c r="D226" s="1">
        <v>43971.07</v>
      </c>
      <c r="E226" s="1">
        <v>30.46</v>
      </c>
      <c r="F226" s="1">
        <v>48.46</v>
      </c>
      <c r="G226" s="1">
        <v>6.37</v>
      </c>
      <c r="H226" s="1">
        <v>87.42</v>
      </c>
      <c r="I226" s="1">
        <v>21.71</v>
      </c>
      <c r="J226" s="1">
        <v>59.15</v>
      </c>
      <c r="K226" s="1">
        <v>143.31</v>
      </c>
      <c r="L226" s="1" t="s">
        <v>17</v>
      </c>
    </row>
    <row r="227" spans="1:12" x14ac:dyDescent="0.95">
      <c r="A227" s="1">
        <v>226</v>
      </c>
      <c r="B227" s="1" t="s">
        <v>31</v>
      </c>
      <c r="C227" s="1">
        <v>2022</v>
      </c>
      <c r="D227" s="1">
        <v>48418.92</v>
      </c>
      <c r="E227" s="1">
        <v>29.57</v>
      </c>
      <c r="F227" s="1">
        <v>35.19</v>
      </c>
      <c r="G227" s="1">
        <v>23.86</v>
      </c>
      <c r="H227" s="1">
        <v>56.69</v>
      </c>
      <c r="I227" s="1">
        <v>22.64</v>
      </c>
      <c r="J227" s="1">
        <v>67.23</v>
      </c>
      <c r="K227" s="1">
        <v>925.76</v>
      </c>
      <c r="L227" s="1" t="s">
        <v>17</v>
      </c>
    </row>
    <row r="228" spans="1:12" x14ac:dyDescent="0.95">
      <c r="A228" s="1">
        <v>227</v>
      </c>
      <c r="B228" s="1" t="s">
        <v>31</v>
      </c>
      <c r="C228" s="1">
        <v>2022</v>
      </c>
      <c r="D228" s="1">
        <v>45248.93</v>
      </c>
      <c r="E228" s="1">
        <v>6.09</v>
      </c>
      <c r="F228" s="1">
        <v>48.2</v>
      </c>
      <c r="G228" s="1">
        <v>16.600000000000001</v>
      </c>
      <c r="H228" s="1">
        <v>79.67</v>
      </c>
      <c r="I228" s="1">
        <v>15.48</v>
      </c>
      <c r="J228" s="1">
        <v>74.319999999999993</v>
      </c>
      <c r="K228" s="1">
        <v>1168.21</v>
      </c>
      <c r="L228" s="1" t="s">
        <v>17</v>
      </c>
    </row>
    <row r="229" spans="1:12" x14ac:dyDescent="0.95">
      <c r="A229" s="1">
        <v>228</v>
      </c>
      <c r="B229" s="1" t="s">
        <v>30</v>
      </c>
      <c r="C229" s="1">
        <v>2022</v>
      </c>
      <c r="D229" s="1">
        <v>19471.59</v>
      </c>
      <c r="E229" s="1">
        <v>53.98</v>
      </c>
      <c r="F229" s="1">
        <v>44.93</v>
      </c>
      <c r="G229" s="1">
        <v>4</v>
      </c>
      <c r="H229" s="1">
        <v>57.58</v>
      </c>
      <c r="I229" s="1">
        <v>9.02</v>
      </c>
      <c r="J229" s="1">
        <v>77.900000000000006</v>
      </c>
      <c r="K229" s="1">
        <v>1027.5999999999999</v>
      </c>
      <c r="L229" s="1" t="s">
        <v>17</v>
      </c>
    </row>
    <row r="230" spans="1:12" x14ac:dyDescent="0.95">
      <c r="A230" s="1">
        <v>229</v>
      </c>
      <c r="B230" s="1" t="s">
        <v>20</v>
      </c>
      <c r="C230" s="1">
        <v>2023</v>
      </c>
      <c r="D230" s="1">
        <v>9245.0499999999993</v>
      </c>
      <c r="E230" s="1">
        <v>33.200000000000003</v>
      </c>
      <c r="F230" s="1">
        <v>26.38</v>
      </c>
      <c r="G230" s="1">
        <v>25.64</v>
      </c>
      <c r="H230" s="1">
        <v>66.39</v>
      </c>
      <c r="I230" s="1">
        <v>16.899999999999999</v>
      </c>
      <c r="J230" s="1">
        <v>62.29</v>
      </c>
      <c r="K230" s="1">
        <v>756.5</v>
      </c>
      <c r="L230" s="1" t="s">
        <v>15</v>
      </c>
    </row>
    <row r="231" spans="1:12" x14ac:dyDescent="0.95">
      <c r="A231" s="1">
        <v>230</v>
      </c>
      <c r="B231" s="1" t="s">
        <v>23</v>
      </c>
      <c r="C231" s="1">
        <v>2023</v>
      </c>
      <c r="D231" s="1">
        <v>1182.1300000000001</v>
      </c>
      <c r="E231" s="1">
        <v>53.37</v>
      </c>
      <c r="F231" s="1">
        <v>53.27</v>
      </c>
      <c r="G231" s="1">
        <v>20.95</v>
      </c>
      <c r="H231" s="1">
        <v>88.94</v>
      </c>
      <c r="I231" s="1">
        <v>2.78</v>
      </c>
      <c r="J231" s="1">
        <v>63.83</v>
      </c>
      <c r="K231" s="1">
        <v>172.43</v>
      </c>
      <c r="L231" s="1" t="s">
        <v>13</v>
      </c>
    </row>
    <row r="232" spans="1:12" x14ac:dyDescent="0.95">
      <c r="A232" s="1">
        <v>231</v>
      </c>
      <c r="B232" s="1" t="s">
        <v>24</v>
      </c>
      <c r="C232" s="1">
        <v>2023</v>
      </c>
      <c r="D232" s="1">
        <v>63603.6</v>
      </c>
      <c r="E232" s="1">
        <v>17.71</v>
      </c>
      <c r="F232" s="1">
        <v>41.42</v>
      </c>
      <c r="G232" s="1">
        <v>21.64</v>
      </c>
      <c r="H232" s="1">
        <v>65.069999999999993</v>
      </c>
      <c r="I232" s="1">
        <v>2.85</v>
      </c>
      <c r="J232" s="1">
        <v>61.56</v>
      </c>
      <c r="K232" s="1">
        <v>237.96</v>
      </c>
      <c r="L232" s="1" t="s">
        <v>17</v>
      </c>
    </row>
    <row r="233" spans="1:12" x14ac:dyDescent="0.95">
      <c r="A233" s="1">
        <v>232</v>
      </c>
      <c r="B233" s="1" t="s">
        <v>12</v>
      </c>
      <c r="C233" s="1">
        <v>2023</v>
      </c>
      <c r="D233" s="1">
        <v>19152</v>
      </c>
      <c r="E233" s="1">
        <v>17.37</v>
      </c>
      <c r="F233" s="1">
        <v>63.92</v>
      </c>
      <c r="G233" s="1">
        <v>12.22</v>
      </c>
      <c r="H233" s="1">
        <v>94.25</v>
      </c>
      <c r="I233" s="1">
        <v>16.149999999999999</v>
      </c>
      <c r="J233" s="1">
        <v>78.23</v>
      </c>
      <c r="K233" s="1">
        <v>731.31</v>
      </c>
      <c r="L233" s="1" t="s">
        <v>13</v>
      </c>
    </row>
    <row r="234" spans="1:12" x14ac:dyDescent="0.95">
      <c r="A234" s="1">
        <v>233</v>
      </c>
      <c r="B234" s="1" t="s">
        <v>31</v>
      </c>
      <c r="C234" s="1">
        <v>2023</v>
      </c>
      <c r="D234" s="1">
        <v>40721.75</v>
      </c>
      <c r="E234" s="1">
        <v>33.03</v>
      </c>
      <c r="F234" s="1">
        <v>32.81</v>
      </c>
      <c r="G234" s="1">
        <v>20.78</v>
      </c>
      <c r="H234" s="1">
        <v>67.349999999999994</v>
      </c>
      <c r="I234" s="1">
        <v>1.58</v>
      </c>
      <c r="J234" s="1">
        <v>73.3</v>
      </c>
      <c r="K234" s="1">
        <v>260.92</v>
      </c>
      <c r="L234" s="1" t="s">
        <v>15</v>
      </c>
    </row>
    <row r="235" spans="1:12" x14ac:dyDescent="0.95">
      <c r="A235" s="1">
        <v>234</v>
      </c>
      <c r="B235" s="1" t="s">
        <v>22</v>
      </c>
      <c r="C235" s="1">
        <v>2023</v>
      </c>
      <c r="D235" s="1">
        <v>63452.43</v>
      </c>
      <c r="E235" s="1">
        <v>7.75</v>
      </c>
      <c r="F235" s="1">
        <v>37.770000000000003</v>
      </c>
      <c r="G235" s="1">
        <v>26.7</v>
      </c>
      <c r="H235" s="1">
        <v>96.83</v>
      </c>
      <c r="I235" s="1">
        <v>14.76</v>
      </c>
      <c r="J235" s="1">
        <v>72.849999999999994</v>
      </c>
      <c r="K235" s="1">
        <v>653</v>
      </c>
      <c r="L235" s="1" t="s">
        <v>17</v>
      </c>
    </row>
    <row r="236" spans="1:12" x14ac:dyDescent="0.95">
      <c r="A236" s="1">
        <v>235</v>
      </c>
      <c r="B236" s="1" t="s">
        <v>36</v>
      </c>
      <c r="C236" s="1">
        <v>2023</v>
      </c>
      <c r="D236" s="1">
        <v>3786.67</v>
      </c>
      <c r="E236" s="1">
        <v>58.14</v>
      </c>
      <c r="F236" s="1">
        <v>46.11</v>
      </c>
      <c r="G236" s="1">
        <v>27.82</v>
      </c>
      <c r="H236" s="1">
        <v>58.25</v>
      </c>
      <c r="I236" s="1">
        <v>14.29</v>
      </c>
      <c r="J236" s="1">
        <v>83.99</v>
      </c>
      <c r="K236" s="1">
        <v>760.88</v>
      </c>
      <c r="L236" s="1" t="s">
        <v>17</v>
      </c>
    </row>
    <row r="237" spans="1:12" x14ac:dyDescent="0.95">
      <c r="A237" s="1">
        <v>236</v>
      </c>
      <c r="B237" s="1" t="s">
        <v>21</v>
      </c>
      <c r="C237" s="1">
        <v>2023</v>
      </c>
      <c r="D237" s="1">
        <v>44354.39</v>
      </c>
      <c r="E237" s="1">
        <v>45.83</v>
      </c>
      <c r="F237" s="1">
        <v>43.18</v>
      </c>
      <c r="G237" s="1">
        <v>18.32</v>
      </c>
      <c r="H237" s="1">
        <v>80.709999999999994</v>
      </c>
      <c r="I237" s="1">
        <v>22.63</v>
      </c>
      <c r="J237" s="1">
        <v>53.5</v>
      </c>
      <c r="K237" s="1">
        <v>410.99</v>
      </c>
      <c r="L237" s="1" t="s">
        <v>17</v>
      </c>
    </row>
    <row r="238" spans="1:12" x14ac:dyDescent="0.95">
      <c r="A238" s="1">
        <v>237</v>
      </c>
      <c r="B238" s="1" t="s">
        <v>14</v>
      </c>
      <c r="C238" s="1">
        <v>2023</v>
      </c>
      <c r="D238" s="1">
        <v>33433.07</v>
      </c>
      <c r="E238" s="1">
        <v>27.95</v>
      </c>
      <c r="F238" s="1">
        <v>38.950000000000003</v>
      </c>
      <c r="G238" s="1">
        <v>26.17</v>
      </c>
      <c r="H238" s="1">
        <v>91.55</v>
      </c>
      <c r="I238" s="1">
        <v>24.16</v>
      </c>
      <c r="J238" s="1">
        <v>56.1</v>
      </c>
      <c r="K238" s="1">
        <v>1061.0999999999999</v>
      </c>
      <c r="L238" s="1" t="s">
        <v>17</v>
      </c>
    </row>
    <row r="239" spans="1:12" x14ac:dyDescent="0.95">
      <c r="A239" s="1">
        <v>238</v>
      </c>
      <c r="B239" s="1" t="s">
        <v>16</v>
      </c>
      <c r="C239" s="1">
        <v>2023</v>
      </c>
      <c r="D239" s="1">
        <v>44237.4</v>
      </c>
      <c r="E239" s="1">
        <v>23.1</v>
      </c>
      <c r="F239" s="1">
        <v>30.57</v>
      </c>
      <c r="G239" s="1">
        <v>22.64</v>
      </c>
      <c r="H239" s="1">
        <v>82.28</v>
      </c>
      <c r="I239" s="1">
        <v>13.8</v>
      </c>
      <c r="J239" s="1">
        <v>81.5</v>
      </c>
      <c r="K239" s="1">
        <v>1144.52</v>
      </c>
      <c r="L239" s="1" t="s">
        <v>15</v>
      </c>
    </row>
    <row r="240" spans="1:12" x14ac:dyDescent="0.95">
      <c r="A240" s="1">
        <v>239</v>
      </c>
      <c r="B240" s="1" t="s">
        <v>14</v>
      </c>
      <c r="C240" s="1">
        <v>2023</v>
      </c>
      <c r="D240" s="1">
        <v>7681.34</v>
      </c>
      <c r="E240" s="1">
        <v>17.32</v>
      </c>
      <c r="F240" s="1">
        <v>53.89</v>
      </c>
      <c r="G240" s="1">
        <v>24.25</v>
      </c>
      <c r="H240" s="1">
        <v>91.53</v>
      </c>
      <c r="I240" s="1">
        <v>10.53</v>
      </c>
      <c r="J240" s="1">
        <v>74.05</v>
      </c>
      <c r="K240" s="1">
        <v>301.2</v>
      </c>
      <c r="L240" s="1" t="s">
        <v>13</v>
      </c>
    </row>
    <row r="241" spans="1:12" x14ac:dyDescent="0.95">
      <c r="A241" s="1">
        <v>240</v>
      </c>
      <c r="B241" s="1" t="s">
        <v>18</v>
      </c>
      <c r="C241" s="1">
        <v>2023</v>
      </c>
      <c r="D241" s="1">
        <v>41979.39</v>
      </c>
      <c r="E241" s="1">
        <v>5.24</v>
      </c>
      <c r="F241" s="1">
        <v>44.85</v>
      </c>
      <c r="G241" s="1">
        <v>17.52</v>
      </c>
      <c r="H241" s="1">
        <v>69.709999999999994</v>
      </c>
      <c r="I241" s="1">
        <v>19.5</v>
      </c>
      <c r="J241" s="1">
        <v>55.52</v>
      </c>
      <c r="K241" s="1">
        <v>113.57</v>
      </c>
      <c r="L241" s="1" t="s">
        <v>17</v>
      </c>
    </row>
    <row r="242" spans="1:12" x14ac:dyDescent="0.95">
      <c r="A242" s="1">
        <v>241</v>
      </c>
      <c r="B242" s="1" t="s">
        <v>33</v>
      </c>
      <c r="C242" s="1">
        <v>2023</v>
      </c>
      <c r="D242" s="1">
        <v>64522.67</v>
      </c>
      <c r="E242" s="1">
        <v>40.85</v>
      </c>
      <c r="F242" s="1">
        <v>56.86</v>
      </c>
      <c r="G242" s="1">
        <v>14.52</v>
      </c>
      <c r="H242" s="1">
        <v>60.16</v>
      </c>
      <c r="I242" s="1">
        <v>4</v>
      </c>
      <c r="J242" s="1">
        <v>74.62</v>
      </c>
      <c r="K242" s="1">
        <v>626.79</v>
      </c>
      <c r="L242" s="1" t="s">
        <v>13</v>
      </c>
    </row>
    <row r="243" spans="1:12" x14ac:dyDescent="0.95">
      <c r="A243" s="1">
        <v>242</v>
      </c>
      <c r="B243" s="1" t="s">
        <v>37</v>
      </c>
      <c r="C243" s="1">
        <v>2023</v>
      </c>
      <c r="D243" s="1">
        <v>31152.19</v>
      </c>
      <c r="E243" s="1">
        <v>47.69</v>
      </c>
      <c r="F243" s="1">
        <v>44.47</v>
      </c>
      <c r="G243" s="1">
        <v>24.71</v>
      </c>
      <c r="H243" s="1">
        <v>94.63</v>
      </c>
      <c r="I243" s="1">
        <v>11.12</v>
      </c>
      <c r="J243" s="1">
        <v>61.14</v>
      </c>
      <c r="K243" s="1">
        <v>860.95</v>
      </c>
      <c r="L243" s="1" t="s">
        <v>17</v>
      </c>
    </row>
    <row r="244" spans="1:12" x14ac:dyDescent="0.95">
      <c r="A244" s="1">
        <v>243</v>
      </c>
      <c r="B244" s="1" t="s">
        <v>33</v>
      </c>
      <c r="C244" s="1">
        <v>2023</v>
      </c>
      <c r="D244" s="1">
        <v>63935.54</v>
      </c>
      <c r="E244" s="1">
        <v>15.27</v>
      </c>
      <c r="F244" s="1">
        <v>49.92</v>
      </c>
      <c r="G244" s="1">
        <v>18.420000000000002</v>
      </c>
      <c r="H244" s="1">
        <v>87.26</v>
      </c>
      <c r="I244" s="1">
        <v>4.16</v>
      </c>
      <c r="J244" s="1">
        <v>75.62</v>
      </c>
      <c r="K244" s="1">
        <v>1318.55</v>
      </c>
      <c r="L244" s="1" t="s">
        <v>17</v>
      </c>
    </row>
    <row r="245" spans="1:12" x14ac:dyDescent="0.95">
      <c r="A245" s="1">
        <v>244</v>
      </c>
      <c r="B245" s="1" t="s">
        <v>19</v>
      </c>
      <c r="C245" s="1">
        <v>2023</v>
      </c>
      <c r="D245" s="1">
        <v>31615.119999999999</v>
      </c>
      <c r="E245" s="1">
        <v>34.43</v>
      </c>
      <c r="F245" s="1">
        <v>39.369999999999997</v>
      </c>
      <c r="G245" s="1">
        <v>17.420000000000002</v>
      </c>
      <c r="H245" s="1">
        <v>62.2</v>
      </c>
      <c r="I245" s="1">
        <v>10.39</v>
      </c>
      <c r="J245" s="1">
        <v>83.99</v>
      </c>
      <c r="K245" s="1">
        <v>378</v>
      </c>
      <c r="L245" s="1" t="s">
        <v>17</v>
      </c>
    </row>
    <row r="246" spans="1:12" x14ac:dyDescent="0.95">
      <c r="A246" s="1">
        <v>245</v>
      </c>
      <c r="B246" s="1" t="s">
        <v>32</v>
      </c>
      <c r="C246" s="1">
        <v>2023</v>
      </c>
      <c r="D246" s="1">
        <v>48515.25</v>
      </c>
      <c r="E246" s="1">
        <v>44.62</v>
      </c>
      <c r="F246" s="1">
        <v>33.630000000000003</v>
      </c>
      <c r="G246" s="1">
        <v>19.13</v>
      </c>
      <c r="H246" s="1">
        <v>72.33</v>
      </c>
      <c r="I246" s="1">
        <v>16.63</v>
      </c>
      <c r="J246" s="1">
        <v>55.52</v>
      </c>
      <c r="K246" s="1">
        <v>955.59</v>
      </c>
      <c r="L246" s="1" t="s">
        <v>15</v>
      </c>
    </row>
    <row r="247" spans="1:12" x14ac:dyDescent="0.95">
      <c r="A247" s="1">
        <v>246</v>
      </c>
      <c r="B247" s="1" t="s">
        <v>39</v>
      </c>
      <c r="C247" s="1">
        <v>2023</v>
      </c>
      <c r="D247" s="1">
        <v>69154.759999999995</v>
      </c>
      <c r="E247" s="1">
        <v>10.6</v>
      </c>
      <c r="F247" s="1">
        <v>52.81</v>
      </c>
      <c r="G247" s="1">
        <v>12.51</v>
      </c>
      <c r="H247" s="1">
        <v>73.84</v>
      </c>
      <c r="I247" s="1">
        <v>18.22</v>
      </c>
      <c r="J247" s="1">
        <v>74.849999999999994</v>
      </c>
      <c r="K247" s="1">
        <v>1437.36</v>
      </c>
      <c r="L247" s="1" t="s">
        <v>13</v>
      </c>
    </row>
    <row r="248" spans="1:12" x14ac:dyDescent="0.95">
      <c r="A248" s="1">
        <v>247</v>
      </c>
      <c r="B248" s="1" t="s">
        <v>31</v>
      </c>
      <c r="C248" s="1">
        <v>2023</v>
      </c>
      <c r="D248" s="1">
        <v>54828.7</v>
      </c>
      <c r="E248" s="1">
        <v>30.97</v>
      </c>
      <c r="F248" s="1">
        <v>27.33</v>
      </c>
      <c r="G248" s="1">
        <v>27.87</v>
      </c>
      <c r="H248" s="1">
        <v>57.54</v>
      </c>
      <c r="I248" s="1">
        <v>17.68</v>
      </c>
      <c r="J248" s="1">
        <v>84.46</v>
      </c>
      <c r="K248" s="1">
        <v>350.62</v>
      </c>
      <c r="L248" s="1" t="s">
        <v>15</v>
      </c>
    </row>
    <row r="249" spans="1:12" x14ac:dyDescent="0.95">
      <c r="A249" s="1">
        <v>248</v>
      </c>
      <c r="B249" s="1" t="s">
        <v>21</v>
      </c>
      <c r="C249" s="1">
        <v>2023</v>
      </c>
      <c r="D249" s="1">
        <v>46427.29</v>
      </c>
      <c r="E249" s="1">
        <v>58.39</v>
      </c>
      <c r="F249" s="1">
        <v>50.47</v>
      </c>
      <c r="G249" s="1">
        <v>17.96</v>
      </c>
      <c r="H249" s="1">
        <v>57.93</v>
      </c>
      <c r="I249" s="1">
        <v>13.44</v>
      </c>
      <c r="J249" s="1">
        <v>56.96</v>
      </c>
      <c r="K249" s="1">
        <v>1070.5899999999999</v>
      </c>
      <c r="L249" s="1" t="s">
        <v>13</v>
      </c>
    </row>
    <row r="250" spans="1:12" x14ac:dyDescent="0.95">
      <c r="A250" s="1">
        <v>249</v>
      </c>
      <c r="B250" s="1" t="s">
        <v>35</v>
      </c>
      <c r="C250" s="1">
        <v>2023</v>
      </c>
      <c r="D250" s="1">
        <v>8988.86</v>
      </c>
      <c r="E250" s="1">
        <v>27.82</v>
      </c>
      <c r="F250" s="1">
        <v>58.59</v>
      </c>
      <c r="G250" s="1">
        <v>11.98</v>
      </c>
      <c r="H250" s="1">
        <v>80.16</v>
      </c>
      <c r="I250" s="1">
        <v>15.11</v>
      </c>
      <c r="J250" s="1">
        <v>58.09</v>
      </c>
      <c r="K250" s="1">
        <v>528.42999999999995</v>
      </c>
      <c r="L250" s="1" t="s">
        <v>13</v>
      </c>
    </row>
    <row r="251" spans="1:12" x14ac:dyDescent="0.95">
      <c r="A251" s="1">
        <v>250</v>
      </c>
      <c r="B251" s="1" t="s">
        <v>29</v>
      </c>
      <c r="C251" s="1">
        <v>2023</v>
      </c>
      <c r="D251" s="1">
        <v>18743.34</v>
      </c>
      <c r="E251" s="1">
        <v>29.07</v>
      </c>
      <c r="F251" s="1">
        <v>59.91</v>
      </c>
      <c r="G251" s="1">
        <v>23.89</v>
      </c>
      <c r="H251" s="1">
        <v>63.19</v>
      </c>
      <c r="I251" s="1">
        <v>20.260000000000002</v>
      </c>
      <c r="J251" s="1">
        <v>67.12</v>
      </c>
      <c r="K251" s="1">
        <v>702.89</v>
      </c>
      <c r="L251" s="1" t="s">
        <v>13</v>
      </c>
    </row>
    <row r="252" spans="1:12" x14ac:dyDescent="0.95">
      <c r="A252" s="1"/>
      <c r="B252" s="1"/>
      <c r="C252" s="1"/>
      <c r="D252" s="1">
        <f>AVERAGE(D2:D251)</f>
        <v>34888.411679999976</v>
      </c>
      <c r="E252" s="1">
        <f>AVERAGE(E2:E251)</f>
        <v>33.165600000000005</v>
      </c>
      <c r="F252" s="1">
        <f>AVERAGE(F2:F251)</f>
        <v>43.581199999999974</v>
      </c>
      <c r="G252" s="1">
        <f>AVERAGE(G2:G251)</f>
        <v>15.668719999999995</v>
      </c>
      <c r="H252" s="1">
        <f>AVERAGE(H2:H251)</f>
        <v>77.290480000000002</v>
      </c>
      <c r="I252" s="1"/>
      <c r="J252" s="1"/>
      <c r="K252" s="1"/>
      <c r="L252" s="1"/>
    </row>
  </sheetData>
  <conditionalFormatting sqref="F2:F252">
    <cfRule type="aboveAverage" dxfId="60"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Sheet7</vt:lpstr>
      <vt:lpstr>Sheet5</vt:lpstr>
      <vt:lpstr>Global Poverty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197/B/Sahil Patil</cp:lastModifiedBy>
  <dcterms:created xsi:type="dcterms:W3CDTF">2026-05-21T07:42:54Z</dcterms:created>
  <dcterms:modified xsi:type="dcterms:W3CDTF">2026-05-27T11:22:27Z</dcterms:modified>
</cp:coreProperties>
</file>